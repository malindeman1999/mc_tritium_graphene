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mc of tritium graphene experiment/"/>
    </mc:Choice>
  </mc:AlternateContent>
  <xr:revisionPtr revIDLastSave="39" documentId="11_FB739E7712723328FBA76D47A5A1375D0451E350" xr6:coauthVersionLast="47" xr6:coauthVersionMax="47" xr10:uidLastSave="{CCC7864F-7ABC-4E90-9154-BC4A0AE11DF6}"/>
  <bookViews>
    <workbookView xWindow="33525" yWindow="-3540" windowWidth="22635" windowHeight="17175" xr2:uid="{00000000-000D-0000-FFFF-FFFF00000000}"/>
  </bookViews>
  <sheets>
    <sheet name="Estimator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2" i="1"/>
  <c r="B28" i="1"/>
  <c r="B25" i="1"/>
  <c r="B24" i="1"/>
  <c r="B21" i="1"/>
  <c r="B15" i="1"/>
  <c r="B16" i="1" s="1"/>
  <c r="B17" i="1" s="1"/>
  <c r="B14" i="1"/>
  <c r="B23" i="1" s="1"/>
  <c r="B18" i="1" l="1"/>
  <c r="B19" i="1" s="1"/>
  <c r="B26" i="1"/>
  <c r="B27" i="1" l="1"/>
  <c r="B29" i="1" s="1"/>
</calcChain>
</file>

<file path=xl/sharedStrings.xml><?xml version="1.0" encoding="utf-8"?>
<sst xmlns="http://schemas.openxmlformats.org/spreadsheetml/2006/main" count="114" uniqueCount="101">
  <si>
    <t>Tritium endpoint mass-measurement estimator</t>
  </si>
  <si>
    <t>Editable inputs</t>
  </si>
  <si>
    <t>Value</t>
  </si>
  <si>
    <t>Unit</t>
  </si>
  <si>
    <t>Math notation / formula</t>
  </si>
  <si>
    <t>Notes</t>
  </si>
  <si>
    <t>Neutrino mass</t>
  </si>
  <si>
    <t>eV</t>
  </si>
  <si>
    <t>mν</t>
  </si>
  <si>
    <t>Finite mass to distinguish from zero</t>
  </si>
  <si>
    <t>Significance</t>
  </si>
  <si>
    <t>σ</t>
  </si>
  <si>
    <t>Z</t>
  </si>
  <si>
    <t>Use 1 for 1σ, 3 for 3σ</t>
  </si>
  <si>
    <t>Tritium activity per sensor</t>
  </si>
  <si>
    <t>Bq</t>
  </si>
  <si>
    <t>A</t>
  </si>
  <si>
    <t>For ~1e11 tritium atoms per 100 µm square</t>
  </si>
  <si>
    <t>Endpoint energy</t>
  </si>
  <si>
    <t>Q</t>
  </si>
  <si>
    <t>Tritium endpoint</t>
  </si>
  <si>
    <t>Acceptance factor</t>
  </si>
  <si>
    <t>fraction</t>
  </si>
  <si>
    <t>f</t>
  </si>
  <si>
    <t>Upward hemisphere and 0.5 endpoint blocking voltage</t>
  </si>
  <si>
    <t>eV FWHM</t>
  </si>
  <si>
    <t>FWHM_eff</t>
  </si>
  <si>
    <t>Detector + source broadening as effective FWHM</t>
  </si>
  <si>
    <t>Fit window width</t>
  </si>
  <si>
    <t>FWHM</t>
  </si>
  <si>
    <t>N_FWHM</t>
  </si>
  <si>
    <t>Total fit window below endpoint, in FWHM units</t>
  </si>
  <si>
    <t>Sensors per chip</t>
  </si>
  <si>
    <t>sensors/chip</t>
  </si>
  <si>
    <t>N_sensors/chip</t>
  </si>
  <si>
    <t>Editable</t>
  </si>
  <si>
    <t>Number of chips</t>
  </si>
  <si>
    <t>chips</t>
  </si>
  <si>
    <t>N_chips</t>
  </si>
  <si>
    <t>Computed outputs</t>
  </si>
  <si>
    <t>Effective sigma</t>
  </si>
  <si>
    <t>σ_eff = FWHM_eff / 2.355</t>
  </si>
  <si>
    <t>Reference window width</t>
  </si>
  <si>
    <t>W₀ = 2 FWHM_eff</t>
  </si>
  <si>
    <t>Reference window for perfect-resolution estimate</t>
  </si>
  <si>
    <t>Mass/window ratio</t>
  </si>
  <si>
    <t>x = mν / W₀</t>
  </si>
  <si>
    <t>Finite-mass count ratio</t>
  </si>
  <si>
    <t>r = (1 - x²)^(3/2)</t>
  </si>
  <si>
    <t>Counts for mν divided by counts for mν=0 in perfect-resolution window</t>
  </si>
  <si>
    <t>Fractional deficit</t>
  </si>
  <si>
    <t>δ = 1 - r</t>
  </si>
  <si>
    <t>Perfect-resolution counts needed</t>
  </si>
  <si>
    <t>counts</t>
  </si>
  <si>
    <t>N_perfect = Z² / δ²</t>
  </si>
  <si>
    <t>Counts needed in the two-FWHM reference window before resolution penalty</t>
  </si>
  <si>
    <t>Endpoint rate in reference window per sensor</t>
  </si>
  <si>
    <t>events/s/sensor</t>
  </si>
  <si>
    <t>R(W₀) = A f (W₀ / Q)³</t>
  </si>
  <si>
    <t>Total accepted count rate per sensor</t>
  </si>
  <si>
    <t>R_total = A f</t>
  </si>
  <si>
    <t>All accepted beta decays above blocking threshold, rough model</t>
  </si>
  <si>
    <t>Perfect-resolution detector-years per sensor</t>
  </si>
  <si>
    <t>yr</t>
  </si>
  <si>
    <t>T_perfect = N_perfect / R(W₀)</t>
  </si>
  <si>
    <t>Finite-resolution penalty</t>
  </si>
  <si>
    <t>×</t>
  </si>
  <si>
    <t>P_res = [1 + (σ_eff / mν)²]²</t>
  </si>
  <si>
    <t>Heuristic penalty</t>
  </si>
  <si>
    <t>Window information fraction</t>
  </si>
  <si>
    <t>F(N) = 1 - 1 / (2.355 N_FWHM)</t>
  </si>
  <si>
    <t>Crude multi-bin information fraction</t>
  </si>
  <si>
    <t>2-FWHM information fraction</t>
  </si>
  <si>
    <t>F(2) = 1 - 1 / (2.355×2)</t>
  </si>
  <si>
    <t>Reference</t>
  </si>
  <si>
    <t>Fit-window scaling factor</t>
  </si>
  <si>
    <t>P_window = F(2) / F(N_FWHM)</t>
  </si>
  <si>
    <t>Can be &lt; 1 for wider windows</t>
  </si>
  <si>
    <t>Adjusted detector-years per sensor</t>
  </si>
  <si>
    <t>T_final = T_perfect P_res P_window</t>
  </si>
  <si>
    <t>Total sensors</t>
  </si>
  <si>
    <t>sensors</t>
  </si>
  <si>
    <t>N_total = N_sensors/chip N_chips</t>
  </si>
  <si>
    <t>Calendar years</t>
  </si>
  <si>
    <t>T_calendar = T_final / N_total</t>
  </si>
  <si>
    <t>Parallel sensors</t>
  </si>
  <si>
    <t>Quick interpretation</t>
  </si>
  <si>
    <t>The perfect-resolution estimate is evaluated at W₀ = 2 FWHM_eff, then multiplied by a finite-resolution penalty and a fit-window-width scaling factor.</t>
  </si>
  <si>
    <t>The window factor is referenced to 2 FWHM; widening the fit window gives only modest improvement in this heuristic model.</t>
  </si>
  <si>
    <t>This workbook estimates exposure time for a tritium beta endpoint mass measurement only.</t>
  </si>
  <si>
    <t>Main calculation chain:</t>
  </si>
  <si>
    <t>1. Compute effective sigma from FWHM_eff.</t>
  </si>
  <si>
    <t>2. Set reference window W0 = 2 FWHM_eff.</t>
  </si>
  <si>
    <t>3. Compute perfect-resolution counts for the two-FWHM reference window.</t>
  </si>
  <si>
    <t>4. Compute endpoint rate in that reference window.</t>
  </si>
  <si>
    <t>5. Apply finite-resolution penalty P_res = [1 + (sigma_eff/m_nu)^2]^2.</t>
  </si>
  <si>
    <t>6. Apply fit-window scaling P_window = F(2)/F(N_FWHM).</t>
  </si>
  <si>
    <t>7. Divide detector-years per sensor by total sensors = sensors per chip × chips.</t>
  </si>
  <si>
    <t>Caveat: this is a heuristic estimate, not a substitute for a full convolved endpoint-spectrum likelihood fit.</t>
  </si>
  <si>
    <t>Effective energy resolution  (FWHM)</t>
  </si>
  <si>
    <t>I think I'm chooising too small of a window of counts aroung the endpoint for my base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</si>
</sst>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E+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11827"/>
      <name val="Carlito"/>
    </font>
    <font>
      <b/>
      <sz val="11"/>
      <name val="Carlito"/>
    </font>
    <font>
      <b/>
      <sz val="14"/>
      <color rgb="FFFFFFFF"/>
      <name val="Carlito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8FAFC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5" borderId="5" xfId="0" applyNumberFormat="1" applyFill="1" applyBorder="1" applyAlignment="1">
      <alignment horizontal="right" vertical="center" wrapText="1"/>
    </xf>
    <xf numFmtId="165" fontId="0" fillId="5" borderId="5" xfId="0" applyNumberFormat="1" applyFill="1" applyBorder="1" applyAlignment="1">
      <alignment horizontal="right" vertical="center" wrapText="1"/>
    </xf>
    <xf numFmtId="166" fontId="0" fillId="5" borderId="5" xfId="0" applyNumberFormat="1" applyFill="1" applyBorder="1" applyAlignment="1">
      <alignment horizontal="right" vertical="center" wrapText="1"/>
    </xf>
    <xf numFmtId="1" fontId="0" fillId="5" borderId="5" xfId="0" applyNumberForma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166" fontId="0" fillId="6" borderId="5" xfId="0" applyNumberFormat="1" applyFill="1" applyBorder="1" applyAlignment="1">
      <alignment horizontal="right" vertical="center" wrapText="1"/>
    </xf>
    <xf numFmtId="0" fontId="4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2" fontId="0" fillId="6" borderId="5" xfId="0" applyNumberFormat="1" applyFill="1" applyBorder="1" applyAlignment="1">
      <alignment horizontal="right" vertical="center" wrapText="1"/>
    </xf>
    <xf numFmtId="165" fontId="0" fillId="6" borderId="5" xfId="0" applyNumberFormat="1" applyFill="1" applyBorder="1" applyAlignment="1">
      <alignment horizontal="right" vertical="center" wrapText="1"/>
    </xf>
    <xf numFmtId="1" fontId="0" fillId="6" borderId="5" xfId="0" applyNumberFormat="1" applyFill="1" applyBorder="1" applyAlignment="1">
      <alignment horizontal="right" vertical="center" wrapText="1"/>
    </xf>
    <xf numFmtId="1" fontId="0" fillId="6" borderId="8" xfId="0" applyNumberFormat="1" applyFill="1" applyBorder="1" applyAlignment="1">
      <alignment horizontal="right" vertical="center" wrapText="1"/>
    </xf>
    <xf numFmtId="2" fontId="0" fillId="5" borderId="5" xfId="0" applyNumberFormat="1" applyFill="1" applyBorder="1" applyAlignment="1">
      <alignment horizontal="right" vertical="center" wrapText="1"/>
    </xf>
    <xf numFmtId="166" fontId="5" fillId="7" borderId="5" xfId="1" applyNumberFormat="1" applyBorder="1" applyAlignment="1">
      <alignment horizontal="right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36" sqref="B36:E36"/>
    </sheetView>
  </sheetViews>
  <sheetFormatPr defaultRowHeight="13.8"/>
  <cols>
    <col min="1" max="1" width="34" customWidth="1"/>
    <col min="2" max="2" width="16" customWidth="1"/>
    <col min="3" max="3" width="18" customWidth="1"/>
    <col min="4" max="4" width="34" customWidth="1"/>
    <col min="5" max="5" width="54" customWidth="1"/>
  </cols>
  <sheetData>
    <row r="1" spans="1:5">
      <c r="A1" s="24" t="s">
        <v>0</v>
      </c>
      <c r="B1" s="25"/>
      <c r="C1" s="25"/>
      <c r="D1" s="25"/>
      <c r="E1" s="25"/>
    </row>
    <row r="2" spans="1: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spans="1:5">
      <c r="A3" s="6" t="s">
        <v>6</v>
      </c>
      <c r="B3" s="16">
        <v>0.1</v>
      </c>
      <c r="C3" s="7" t="s">
        <v>7</v>
      </c>
      <c r="D3" s="7" t="s">
        <v>8</v>
      </c>
      <c r="E3" s="8" t="s">
        <v>9</v>
      </c>
    </row>
    <row r="4" spans="1:5">
      <c r="A4" s="6" t="s">
        <v>10</v>
      </c>
      <c r="B4" s="17">
        <v>1</v>
      </c>
      <c r="C4" s="7" t="s">
        <v>11</v>
      </c>
      <c r="D4" s="7" t="s">
        <v>12</v>
      </c>
      <c r="E4" s="8" t="s">
        <v>13</v>
      </c>
    </row>
    <row r="5" spans="1:5">
      <c r="A5" s="6" t="s">
        <v>14</v>
      </c>
      <c r="B5" s="19">
        <v>178.28335000000001</v>
      </c>
      <c r="C5" s="7" t="s">
        <v>15</v>
      </c>
      <c r="D5" s="7" t="s">
        <v>16</v>
      </c>
      <c r="E5" s="8" t="s">
        <v>17</v>
      </c>
    </row>
    <row r="6" spans="1:5">
      <c r="A6" s="6" t="s">
        <v>18</v>
      </c>
      <c r="B6" s="31">
        <v>18600</v>
      </c>
      <c r="C6" s="7" t="s">
        <v>7</v>
      </c>
      <c r="D6" s="7" t="s">
        <v>19</v>
      </c>
      <c r="E6" s="8" t="s">
        <v>20</v>
      </c>
    </row>
    <row r="7" spans="1:5">
      <c r="A7" s="6" t="s">
        <v>21</v>
      </c>
      <c r="B7" s="18">
        <v>5.5999999999999999E-3</v>
      </c>
      <c r="C7" s="7" t="s">
        <v>22</v>
      </c>
      <c r="D7" s="7" t="s">
        <v>23</v>
      </c>
      <c r="E7" s="8" t="s">
        <v>24</v>
      </c>
    </row>
    <row r="8" spans="1:5">
      <c r="A8" s="6" t="s">
        <v>99</v>
      </c>
      <c r="B8" s="16">
        <v>0.1</v>
      </c>
      <c r="C8" s="7" t="s">
        <v>25</v>
      </c>
      <c r="D8" s="7" t="s">
        <v>26</v>
      </c>
      <c r="E8" s="8" t="s">
        <v>27</v>
      </c>
    </row>
    <row r="9" spans="1:5">
      <c r="A9" s="6" t="s">
        <v>28</v>
      </c>
      <c r="B9" s="19">
        <v>0.5</v>
      </c>
      <c r="C9" s="7" t="s">
        <v>29</v>
      </c>
      <c r="D9" s="7" t="s">
        <v>30</v>
      </c>
      <c r="E9" s="8" t="s">
        <v>31</v>
      </c>
    </row>
    <row r="10" spans="1:5">
      <c r="A10" s="6" t="s">
        <v>32</v>
      </c>
      <c r="B10" s="19">
        <v>10000</v>
      </c>
      <c r="C10" s="7" t="s">
        <v>33</v>
      </c>
      <c r="D10" s="7" t="s">
        <v>34</v>
      </c>
      <c r="E10" s="8" t="s">
        <v>35</v>
      </c>
    </row>
    <row r="11" spans="1:5">
      <c r="A11" s="6" t="s">
        <v>36</v>
      </c>
      <c r="B11" s="19">
        <v>1000</v>
      </c>
      <c r="C11" s="7" t="s">
        <v>37</v>
      </c>
      <c r="D11" s="7" t="s">
        <v>38</v>
      </c>
      <c r="E11" s="8" t="s">
        <v>35</v>
      </c>
    </row>
    <row r="12" spans="1:5">
      <c r="A12" s="9"/>
      <c r="B12" s="20"/>
      <c r="C12" s="7"/>
      <c r="D12" s="7"/>
      <c r="E12" s="8"/>
    </row>
    <row r="13" spans="1:5">
      <c r="A13" s="10" t="s">
        <v>39</v>
      </c>
      <c r="B13" s="21" t="s">
        <v>2</v>
      </c>
      <c r="C13" s="11" t="s">
        <v>3</v>
      </c>
      <c r="D13" s="11" t="s">
        <v>4</v>
      </c>
      <c r="E13" s="12" t="s">
        <v>5</v>
      </c>
    </row>
    <row r="14" spans="1:5">
      <c r="A14" s="6" t="s">
        <v>40</v>
      </c>
      <c r="B14" s="22">
        <f>B8/2.355</f>
        <v>4.2462845010615716E-2</v>
      </c>
      <c r="C14" s="7" t="s">
        <v>7</v>
      </c>
      <c r="D14" s="7" t="s">
        <v>41</v>
      </c>
      <c r="E14" s="8"/>
    </row>
    <row r="15" spans="1:5">
      <c r="A15" s="6" t="s">
        <v>42</v>
      </c>
      <c r="B15" s="22">
        <f>2*B8</f>
        <v>0.2</v>
      </c>
      <c r="C15" s="7" t="s">
        <v>7</v>
      </c>
      <c r="D15" s="7" t="s">
        <v>43</v>
      </c>
      <c r="E15" s="8" t="s">
        <v>44</v>
      </c>
    </row>
    <row r="16" spans="1:5">
      <c r="A16" s="6" t="s">
        <v>45</v>
      </c>
      <c r="B16" s="22">
        <f>B3/B15</f>
        <v>0.5</v>
      </c>
      <c r="C16" s="7"/>
      <c r="D16" s="7" t="s">
        <v>46</v>
      </c>
      <c r="E16" s="8"/>
    </row>
    <row r="17" spans="1:5" ht="27.6">
      <c r="A17" s="6" t="s">
        <v>47</v>
      </c>
      <c r="B17" s="22">
        <f>IF(B16&gt;=1,0,(1-B16^2)^(3/2))</f>
        <v>0.649519052838329</v>
      </c>
      <c r="C17" s="7"/>
      <c r="D17" s="7" t="s">
        <v>48</v>
      </c>
      <c r="E17" s="8" t="s">
        <v>49</v>
      </c>
    </row>
    <row r="18" spans="1:5">
      <c r="A18" s="6" t="s">
        <v>50</v>
      </c>
      <c r="B18" s="22">
        <f>1-B17</f>
        <v>0.350480947161671</v>
      </c>
      <c r="C18" s="7"/>
      <c r="D18" s="7" t="s">
        <v>51</v>
      </c>
      <c r="E18" s="8"/>
    </row>
    <row r="19" spans="1:5" ht="27.6">
      <c r="A19" s="6" t="s">
        <v>52</v>
      </c>
      <c r="B19" s="27">
        <f>B4^2/B18^2</f>
        <v>8.1408766112867728</v>
      </c>
      <c r="C19" s="7" t="s">
        <v>53</v>
      </c>
      <c r="D19" s="7" t="s">
        <v>54</v>
      </c>
      <c r="E19" s="8" t="s">
        <v>55</v>
      </c>
    </row>
    <row r="20" spans="1:5" ht="27.6">
      <c r="A20" s="6" t="s">
        <v>56</v>
      </c>
      <c r="B20" s="32">
        <f>B5*B7*(B15/B6)^3</f>
        <v>1.2412234368570179E-15</v>
      </c>
      <c r="C20" s="7" t="s">
        <v>57</v>
      </c>
      <c r="D20" s="7" t="s">
        <v>58</v>
      </c>
      <c r="E20" s="8"/>
    </row>
    <row r="21" spans="1:5">
      <c r="A21" s="6" t="s">
        <v>59</v>
      </c>
      <c r="B21" s="28">
        <f>B5*B7</f>
        <v>0.99838676000000004</v>
      </c>
      <c r="C21" s="7" t="s">
        <v>57</v>
      </c>
      <c r="D21" s="7" t="s">
        <v>60</v>
      </c>
      <c r="E21" s="8" t="s">
        <v>61</v>
      </c>
    </row>
    <row r="22" spans="1:5" ht="27.6">
      <c r="A22" s="6" t="s">
        <v>62</v>
      </c>
      <c r="B22" s="22">
        <f>B19/B20/(365.25*24*3600)</f>
        <v>207834307.08885837</v>
      </c>
      <c r="C22" s="7" t="s">
        <v>63</v>
      </c>
      <c r="D22" s="7" t="s">
        <v>64</v>
      </c>
      <c r="E22" s="8"/>
    </row>
    <row r="23" spans="1:5">
      <c r="A23" s="6" t="s">
        <v>65</v>
      </c>
      <c r="B23" s="27">
        <f>(1+(B14/B3)^2)^2</f>
        <v>1.393130092388613</v>
      </c>
      <c r="C23" s="7" t="s">
        <v>66</v>
      </c>
      <c r="D23" s="7" t="s">
        <v>67</v>
      </c>
      <c r="E23" s="8" t="s">
        <v>68</v>
      </c>
    </row>
    <row r="24" spans="1:5">
      <c r="A24" s="6" t="s">
        <v>69</v>
      </c>
      <c r="B24" s="27">
        <f>1-1/(2.355*B9)</f>
        <v>0.15074309978768574</v>
      </c>
      <c r="C24" s="7"/>
      <c r="D24" s="7" t="s">
        <v>70</v>
      </c>
      <c r="E24" s="8" t="s">
        <v>71</v>
      </c>
    </row>
    <row r="25" spans="1:5">
      <c r="A25" s="6" t="s">
        <v>72</v>
      </c>
      <c r="B25" s="27">
        <f>1-1/(2.355*2)</f>
        <v>0.78768577494692149</v>
      </c>
      <c r="C25" s="7"/>
      <c r="D25" s="7" t="s">
        <v>73</v>
      </c>
      <c r="E25" s="8" t="s">
        <v>74</v>
      </c>
    </row>
    <row r="26" spans="1:5">
      <c r="A26" s="6" t="s">
        <v>75</v>
      </c>
      <c r="B26" s="22">
        <f>B25/B24</f>
        <v>5.2253521126760578</v>
      </c>
      <c r="C26" s="7" t="s">
        <v>66</v>
      </c>
      <c r="D26" s="7" t="s">
        <v>76</v>
      </c>
      <c r="E26" s="8" t="s">
        <v>77</v>
      </c>
    </row>
    <row r="27" spans="1:5">
      <c r="A27" s="6" t="s">
        <v>78</v>
      </c>
      <c r="B27" s="22">
        <f>B22*B23*B26</f>
        <v>1512949639.1385827</v>
      </c>
      <c r="C27" s="7" t="s">
        <v>63</v>
      </c>
      <c r="D27" s="7" t="s">
        <v>79</v>
      </c>
      <c r="E27" s="8"/>
    </row>
    <row r="28" spans="1:5">
      <c r="A28" s="6" t="s">
        <v>80</v>
      </c>
      <c r="B28" s="29">
        <f>B10*B11</f>
        <v>10000000</v>
      </c>
      <c r="C28" s="7" t="s">
        <v>81</v>
      </c>
      <c r="D28" s="7" t="s">
        <v>82</v>
      </c>
      <c r="E28" s="8"/>
    </row>
    <row r="29" spans="1:5">
      <c r="A29" s="13" t="s">
        <v>83</v>
      </c>
      <c r="B29" s="30">
        <f>B27/B28</f>
        <v>151.29496391385828</v>
      </c>
      <c r="C29" s="14" t="s">
        <v>63</v>
      </c>
      <c r="D29" s="14" t="s">
        <v>84</v>
      </c>
      <c r="E29" s="15" t="s">
        <v>85</v>
      </c>
    </row>
    <row r="30" spans="1:5">
      <c r="A30" s="2"/>
      <c r="B30" s="2"/>
      <c r="C30" s="2"/>
      <c r="D30" s="2"/>
      <c r="E30" s="2"/>
    </row>
    <row r="31" spans="1:5">
      <c r="A31" s="26" t="s">
        <v>86</v>
      </c>
      <c r="B31" s="25"/>
      <c r="C31" s="25"/>
      <c r="D31" s="25"/>
      <c r="E31" s="25"/>
    </row>
    <row r="32" spans="1:5">
      <c r="A32" s="26" t="s">
        <v>87</v>
      </c>
      <c r="B32" s="25"/>
      <c r="C32" s="25"/>
      <c r="D32" s="25"/>
      <c r="E32" s="25"/>
    </row>
    <row r="33" spans="1:2">
      <c r="A33" t="s">
        <v>88</v>
      </c>
    </row>
    <row r="36" spans="1:2">
      <c r="B36" t="s">
        <v>100</v>
      </c>
    </row>
  </sheetData>
  <mergeCells count="3">
    <mergeCell ref="A1:E1"/>
    <mergeCell ref="A31:E31"/>
    <mergeCell ref="A32:E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3.8"/>
  <cols>
    <col min="1" max="1" width="120" customWidth="1"/>
  </cols>
  <sheetData>
    <row r="1" spans="1:1" ht="17.399999999999999">
      <c r="A1" s="23" t="s">
        <v>5</v>
      </c>
    </row>
    <row r="2" spans="1:1">
      <c r="A2" s="1" t="s">
        <v>89</v>
      </c>
    </row>
    <row r="3" spans="1:1">
      <c r="A3" s="1" t="s">
        <v>90</v>
      </c>
    </row>
    <row r="4" spans="1:1">
      <c r="A4" s="1" t="s">
        <v>91</v>
      </c>
    </row>
    <row r="5" spans="1:1">
      <c r="A5" s="1" t="s">
        <v>92</v>
      </c>
    </row>
    <row r="6" spans="1:1">
      <c r="A6" s="1" t="s">
        <v>93</v>
      </c>
    </row>
    <row r="7" spans="1:1">
      <c r="A7" s="1" t="s">
        <v>94</v>
      </c>
    </row>
    <row r="8" spans="1:1">
      <c r="A8" s="1" t="s">
        <v>95</v>
      </c>
    </row>
    <row r="9" spans="1:1">
      <c r="A9" s="1" t="s">
        <v>96</v>
      </c>
    </row>
    <row r="10" spans="1:1">
      <c r="A10" s="1" t="s">
        <v>97</v>
      </c>
    </row>
    <row r="11" spans="1:1">
      <c r="A11" s="1"/>
    </row>
    <row r="12" spans="1:1">
      <c r="A12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Estimator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Lindeman, Mark A (US 365H)</cp:lastModifiedBy>
  <dcterms:modified xsi:type="dcterms:W3CDTF">2026-06-05T00:29:53Z</dcterms:modified>
</cp:coreProperties>
</file>