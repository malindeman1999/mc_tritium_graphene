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95cf3cd54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43dc40955c044a3"/>
    <x:sheet xmlns:r="http://schemas.openxmlformats.org/officeDocument/2006/relationships" name="Perfect Resolution" sheetId="2" r:id="Rf3e18634decc4066"/>
    <x:sheet xmlns:r="http://schemas.openxmlformats.org/officeDocument/2006/relationships" name="Finite Resolution Scaling" sheetId="3" r:id="R41d50ab42e354afa"/>
    <x:sheet xmlns:r="http://schemas.openxmlformats.org/officeDocument/2006/relationships" name="Notes" sheetId="4" r:id="Re246489c8c6c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.00E+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6" borderId="0" xfId="0" applyNumberFormat="1" applyFont="1" applyFill="1" applyBorder="1" applyAlignment="1">
      <x:alignment wrapText="0"/>
    </x:xf>
    <x:xf numFmtId="202" fontId="0" fillId="6" borderId="0" xfId="0" applyNumberFormat="1" applyFont="1" applyFill="1" applyBorder="1" applyAlignment="1">
      <x:alignment wrapText="0"/>
    </x:xf>
    <x:xf numFmtId="201" fontId="0" fillId="6" borderId="1" xfId="0" applyNumberFormat="1" applyFont="1" applyFill="1" applyBorder="1" applyAlignment="1">
      <x:alignment wrapText="0"/>
    </x:xf>
    <x:xf numFmtId="202" fontId="0" fillId="6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4ed31cea34f6b" /><Relationship Type="http://schemas.openxmlformats.org/officeDocument/2006/relationships/theme" Target="/xl/theme/theme1.xml" Id="R274ffbf2ac6d4af8" /><Relationship Type="http://schemas.microsoft.com/office/2022/11/relationships/FeaturePropertyBag" Target="/xl/featurePropertyBag/featurePropertyBag.xml" Id="R1893d83a1fd740d2" /><Relationship Type="http://schemas.openxmlformats.org/officeDocument/2006/relationships/sharedStrings" Target="/xl/sharedStrings.xml" Id="R8db1ef116c1e4025" /><Relationship Type="http://schemas.openxmlformats.org/officeDocument/2006/relationships/worksheet" Target="/xl/worksheets/sheet1.xml" Id="R743dc40955c044a3" /><Relationship Type="http://schemas.openxmlformats.org/officeDocument/2006/relationships/worksheet" Target="/xl/worksheets/sheet2.xml" Id="Rf3e18634decc4066" /><Relationship Type="http://schemas.openxmlformats.org/officeDocument/2006/relationships/worksheet" Target="/xl/worksheets/sheet3.xml" Id="R41d50ab42e354afa" /><Relationship Type="http://schemas.openxmlformats.org/officeDocument/2006/relationships/worksheet" Target="/xl/worksheets/sheet4.xml" Id="Re246489c8c6c43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0da29716374d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Detector-years vs Effective Resolution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FWHM equiv. (eV)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Scaling'!$B$4:$B$11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Penalty factor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Scaling'!$C$4:$C$11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DY @ ΔE=1 eV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Scaling'!$D$4:$D$11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DY @ ΔE=0.5 eV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Scaling'!$E$4:$E$11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DY @ ΔE=0.2 eV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Scaling'!$F$4:$F$11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5"/>
          <c:order val="5"/>
          <c:tx>
            <c:v>DY @ ΔE=0.1 eV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Scaling'!$G$4:$G$11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6"/>
          <c:order val="6"/>
          <c:tx>
            <c:v>DY @ ΔE=0.05 eV</c:v>
          </c:tx>
          <c:cat>
            <c:strRef>
              <c:f>'Finite Resolution Scaling'!$A$4:$A$11</c:f>
              <c:strCache>
                <c:ptCount val="0"/>
              </c:strCache>
            </c:strRef>
          </c:cat>
          <c:val>
            <c:numRef>
              <c:f>'Finite Resolution Scaling'!$H$4:$H$11</c:f>
              <c:numCache>
                <c:formatCode>0.00E+00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0da29716374d9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putParameters" displayName="InputParameters" ref="A3:F11" headerRowCount="1">
  <x:tableColumns count="6">
    <x:tableColumn id="1" name="Parameter"/>
    <x:tableColumn id="2" name="Value"/>
    <x:tableColumn id="3" name="Units"/>
    <x:tableColumn id="4" name="Symbol"/>
    <x:tableColumn id="5" name="Notes"/>
    <x:tableColumn id="6" name="Editable?"/>
  </x:tableColumns>
  <x:tableStyleInfo name="TableStyleMedium2" showRowStripes="1"/>
</x:table>
</file>

<file path=xl/tables/table2.xml><?xml version="1.0" encoding="utf-8"?>
<x:table xmlns:x="http://schemas.openxmlformats.org/spreadsheetml/2006/main" id="2" name="EndpointWindows" displayName="EndpointWindows" ref="A13:C18" headerRowCount="1">
  <x:tableColumns count="3">
    <x:tableColumn id="1" name="Endpoint window ΔE (eV)"/>
    <x:tableColumn id="2" name="Use in tables?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solutionInputs" displayName="ResolutionInputs" ref="E13:H21" headerRowCount="1">
  <x:tableColumns count="4">
    <x:tableColumn id="1" name="Effective sigma σeff (eV)"/>
    <x:tableColumn id="2" name="FWHM equivalent (eV)"/>
    <x:tableColumn id="3" name="Penalty factor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erfectEstimate" displayName="PerfectEstimate" ref="A3:I8" headerRowCount="1">
  <x:tableColumns count="9">
    <x:tableColumn id="1" name="ΔE window (eV)"/>
    <x:tableColumn id="2" name="r = Nm/N0"/>
    <x:tableColumn id="3" name="δ = 1-r"/>
    <x:tableColumn id="4" name="Counts needed (Zσ)"/>
    <x:tableColumn id="5" name="Endpoint rate / pixel (events/yr)"/>
    <x:tableColumn id="6" name="Detector-years / pixel"/>
    <x:tableColumn id="7" name="Calendar yrs @ 1e6 px"/>
    <x:tableColumn id="8" name="Calendar yrs @ 1e7 px"/>
    <x:tableColumn id="9" name="Calendar yrs @ 1e8 px"/>
  </x:tableColumns>
  <x:tableStyleInfo name="TableStyleMedium2" showRowStripes="1"/>
</x:table>
</file>

<file path=xl/tables/table5.xml><?xml version="1.0" encoding="utf-8"?>
<x:table xmlns:x="http://schemas.openxmlformats.org/spreadsheetml/2006/main" id="5" name="FiniteScaling" displayName="FiniteScaling" ref="A3:K11" headerRowCount="1">
  <x:tableColumns count="11">
    <x:tableColumn id="1" name="σeff (eV)"/>
    <x:tableColumn id="2" name="FWHM equiv. (eV)"/>
    <x:tableColumn id="3" name="Penalty factor"/>
    <x:tableColumn id="4" name="DY @ ΔE=1 eV"/>
    <x:tableColumn id="5" name="DY @ ΔE=0.5 eV"/>
    <x:tableColumn id="6" name="DY @ ΔE=0.2 eV"/>
    <x:tableColumn id="7" name="DY @ ΔE=0.1 eV"/>
    <x:tableColumn id="8" name="DY @ ΔE=0.05 eV"/>
    <x:tableColumn id="9" name="Yrs @ 1e6 px, best"/>
    <x:tableColumn id="10" name="Yrs @ 1e7 px, best"/>
    <x:tableColumn id="11" name="Best ΔE"/>
  </x:tableColumns>
  <x:tableStyleInfo name="TableStyleMedium2" showRowStripes="1"/>
</x:table>
</file>

<file path=xl/tables/table6.xml><?xml version="1.0" encoding="utf-8"?>
<x:table xmlns:x="http://schemas.openxmlformats.org/spreadsheetml/2006/main" id="6" name="ModelNotes" displayName="ModelNotes" ref="A3:C14" headerRowCount="1">
  <x:tableColumns count="3">
    <x:tableColumn id="1" name="Topic"/>
    <x:tableColumn id="2" name="Formula / description"/>
    <x:tableColumn id="3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0892a3dfd84a3d" /><Relationship Type="http://schemas.openxmlformats.org/officeDocument/2006/relationships/table" Target="/xl/tables/table2.xml" Id="R4a1e4e64486b4149" /><Relationship Type="http://schemas.openxmlformats.org/officeDocument/2006/relationships/table" Target="/xl/tables/table3.xml" Id="R70b53734104a49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269ab7514460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ad16558f7ea4f5f" /><Relationship Type="http://schemas.openxmlformats.org/officeDocument/2006/relationships/table" Target="/xl/tables/table5.xml" Id="R53b53889225b4e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942b9e38d181435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0" hidden="0" customWidth="1"/>
    <x:col min="5" max="5" width="48" hidden="0" customWidth="1"/>
    <x:col min="6" max="6" width="12" hidden="0" customWidth="1"/>
    <x:col min="7" max="7" width="16" hidden="0" customWidth="1"/>
    <x:col min="8" max="8" width="16" hidden="0" customWidth="1"/>
  </x:cols>
  <x:sheetData>
    <x:row r="1">
      <x:c r="A1" s="52" t="str">
        <x:v>Tritium Endpoint Mass Measurement Inputs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3">
      <x:c r="A3" s="13" t="str">
        <x:v>Parameter</x:v>
      </x:c>
      <x:c r="B3" s="13" t="str">
        <x:v>Value</x:v>
      </x:c>
      <x:c r="C3" s="13" t="str">
        <x:v>Units</x:v>
      </x:c>
      <x:c r="D3" s="13" t="str">
        <x:v>Symbol</x:v>
      </x:c>
      <x:c r="E3" s="13" t="str">
        <x:v>Notes</x:v>
      </x:c>
      <x:c r="F3" s="13" t="str">
        <x:v>Editable?</x:v>
      </x:c>
    </x:row>
    <x:row r="4">
      <x:c r="A4" t="str">
        <x:v>Neutrino mass to test</x:v>
      </x:c>
      <x:c r="B4" s="30" t="n">
        <x:v>0.1</x:v>
      </x:c>
      <x:c r="C4" t="str">
        <x:v>eV</x:v>
      </x:c>
      <x:c r="D4" t="str">
        <x:v>mν</x:v>
      </x:c>
      <x:c r="E4" t="str">
        <x:v>Example finite-mass hypothesis: 100 meV</x:v>
      </x:c>
      <x:c r="F4" t="str">
        <x:v>Yes</x:v>
      </x:c>
    </x:row>
    <x:row r="5">
      <x:c r="A5" t="str">
        <x:v>Tritium beta endpoint</x:v>
      </x:c>
      <x:c r="B5" s="30" t="n">
        <x:v>18600</x:v>
      </x:c>
      <x:c r="C5" t="str">
        <x:v>eV</x:v>
      </x:c>
      <x:c r="D5" t="str">
        <x:v>Q</x:v>
      </x:c>
      <x:c r="E5" t="str">
        <x:v>Approximate tritium endpoint energy</x:v>
      </x:c>
      <x:c r="F5" t="str">
        <x:v>Yes</x:v>
      </x:c>
    </x:row>
    <x:row r="6">
      <x:c r="A6" t="str">
        <x:v>Activity per 100 µm square pixel</x:v>
      </x:c>
      <x:c r="B6" s="30" t="n">
        <x:v>178.3</x:v>
      </x:c>
      <x:c r="C6" t="str">
        <x:v>Bq</x:v>
      </x:c>
      <x:c r="D6" t="str">
        <x:v>A</x:v>
      </x:c>
      <x:c r="E6" t="str">
        <x:v>From ~1e11 T atoms per pixel</x:v>
      </x:c>
      <x:c r="F6" t="str">
        <x:v>Yes</x:v>
      </x:c>
    </x:row>
    <x:row r="7">
      <x:c r="A7" t="str">
        <x:v>Angular acceptance</x:v>
      </x:c>
      <x:c r="B7" s="30" t="n">
        <x:v>0.1464466094067262</x:v>
      </x:c>
      <x:c r="C7" t="str">
        <x:v>fraction</x:v>
      </x:c>
      <x:c r="D7" t="str">
        <x:v>fangular</x:v>
      </x:c>
      <x:c r="E7" t="str">
        <x:v>Upward hemisphere × 0.5 endpoint blocking voltage = 0.146</x:v>
      </x:c>
      <x:c r="F7" t="str">
        <x:v>Yes</x:v>
      </x:c>
    </x:row>
    <x:row r="8">
      <x:c r="A8" t="str">
        <x:v>Seconds per year</x:v>
      </x:c>
      <x:c r="B8" s="30" t="n">
        <x:v>31557600</x:v>
      </x:c>
      <x:c r="C8" t="str">
        <x:v>s/yr</x:v>
      </x:c>
      <x:c r="D8" t="str">
        <x:v>t_year</x:v>
      </x:c>
      <x:c r="E8" t="str">
        <x:v>Julian year</x:v>
      </x:c>
      <x:c r="F8" t="str">
        <x:v>No</x:v>
      </x:c>
    </x:row>
    <x:row r="9">
      <x:c r="A9" t="str">
        <x:v>Sigma level</x:v>
      </x:c>
      <x:c r="B9" s="30" t="n">
        <x:v>1</x:v>
      </x:c>
      <x:c r="C9" t="str">
        <x:v>σ</x:v>
      </x:c>
      <x:c r="D9" t="str">
        <x:v>Z</x:v>
      </x:c>
      <x:c r="E9" t="str">
        <x:v>Use 1 for 1σ or 3 for 3σ</x:v>
      </x:c>
      <x:c r="F9" t="str">
        <x:v>Yes</x:v>
      </x:c>
    </x:row>
    <x:row r="10">
      <x:c r="A10" t="str">
        <x:v>Default effective sigma</x:v>
      </x:c>
      <x:c r="B10" s="30" t="n">
        <x:v>0.212</x:v>
      </x:c>
      <x:c r="C10" t="str">
        <x:v>eV σ</x:v>
      </x:c>
      <x:c r="D10" t="str">
        <x:v>σeff</x:v>
      </x:c>
      <x:c r="E10" t="str">
        <x:v>Example: 0.5 eV FWHM / 2.355</x:v>
      </x:c>
      <x:c r="F10" t="str">
        <x:v>Yes</x:v>
      </x:c>
    </x:row>
    <x:row r="11">
      <x:c r="A11" s="22" t="str">
        <x:v>Resolution penalty formula</x:v>
      </x:c>
      <x:c r="B11" s="22"/>
      <x:c r="C11" s="22"/>
      <x:c r="D11" s="22"/>
      <x:c r="E11" s="22" t="str">
        <x:v>N_req(σ) ≈ N_req(0) × [1+(σeff/mν)^2]^2</x:v>
      </x:c>
      <x:c r="F11" s="22" t="str">
        <x:v>No</x:v>
      </x:c>
    </x:row>
    <x:row r="13">
      <x:c r="A13" s="13" t="str">
        <x:v>Endpoint window ΔE (eV)</x:v>
      </x:c>
      <x:c r="B13" s="13" t="str">
        <x:v>Use in tables?</x:v>
      </x:c>
      <x:c r="C13" s="13" t="str">
        <x:v>Notes</x:v>
      </x:c>
      <x:c r="E13" s="13" t="str">
        <x:v>Effective sigma σeff (eV)</x:v>
      </x:c>
      <x:c r="F13" s="13" t="str">
        <x:v>FWHM equivalent (eV)</x:v>
      </x:c>
      <x:c r="G13" s="13" t="str">
        <x:v>Penalty factor</x:v>
      </x:c>
      <x:c r="H13" s="13" t="str">
        <x:v>Notes</x:v>
      </x:c>
    </x:row>
    <x:row r="14">
      <x:c r="A14" s="30" t="n">
        <x:v>1</x:v>
      </x:c>
      <x:c r="B14" s="26" t="b">
        <x:v>1</x:v>
      </x:c>
      <x:c r="C14" t="str">
        <x:v>Broad endpoint window</x:v>
      </x:c>
      <x:c r="E14" s="30" t="n">
        <x:v>0</x:v>
      </x:c>
      <x:c r="F14" s="32" t="n">
        <x:f>E14*2.355</x:f>
        <x:v>0</x:v>
      </x:c>
      <x:c r="G14" s="32" t="n">
        <x:f>(1+(E14/$B$4)^2)^2</x:f>
        <x:v>1</x:v>
      </x:c>
      <x:c r="H14" t="str">
        <x:v>Perfect resolution</x:v>
      </x:c>
    </x:row>
    <x:row r="15">
      <x:c r="A15" s="30" t="n">
        <x:v>0.5</x:v>
      </x:c>
      <x:c r="B15" s="26" t="b">
        <x:v>1</x:v>
      </x:c>
      <x:c r="C15" t="str"/>
      <x:c r="E15" s="30" t="n">
        <x:v>0.05</x:v>
      </x:c>
      <x:c r="F15" s="32" t="n">
        <x:f>E15*2.355</x:f>
        <x:v>0.11775000000000001</x:v>
      </x:c>
      <x:c r="G15" s="32" t="n">
        <x:f>(1+(E15/$B$4)^2)^2</x:f>
        <x:v>1.5625</x:v>
      </x:c>
      <x:c r="H15" t="str"/>
    </x:row>
    <x:row r="16">
      <x:c r="A16" s="30" t="n">
        <x:v>0.2</x:v>
      </x:c>
      <x:c r="B16" s="26" t="b">
        <x:v>1</x:v>
      </x:c>
      <x:c r="C16" t="str">
        <x:v>Near 2 × mν for 100 meV mass</x:v>
      </x:c>
      <x:c r="E16" s="30" t="n">
        <x:v>0.1</x:v>
      </x:c>
      <x:c r="F16" s="32" t="n">
        <x:f>E16*2.355</x:f>
        <x:v>0.23550000000000001</x:v>
      </x:c>
      <x:c r="G16" s="32" t="n">
        <x:f>(1+(E16/$B$4)^2)^2</x:f>
        <x:v>4</x:v>
      </x:c>
      <x:c r="H16" t="str">
        <x:v>σ = mν</x:v>
      </x:c>
    </x:row>
    <x:row r="17">
      <x:c r="A17" s="30" t="n">
        <x:v>0.1</x:v>
      </x:c>
      <x:c r="B17" s="26" t="b">
        <x:v>1</x:v>
      </x:c>
      <x:c r="C17" t="str">
        <x:v>Equal to mν for 100 meV mass</x:v>
      </x:c>
      <x:c r="E17" s="30" t="n">
        <x:v>0.15</x:v>
      </x:c>
      <x:c r="F17" s="32" t="n">
        <x:f>E17*2.355</x:f>
        <x:v>0.35325</x:v>
      </x:c>
      <x:c r="G17" s="32" t="n">
        <x:f>(1+(E17/$B$4)^2)^2</x:f>
        <x:v>10.562499999999996</x:v>
      </x:c>
      <x:c r="H17" t="str"/>
    </x:row>
    <x:row r="18">
      <x:c r="A18" s="30" t="n">
        <x:v>0.05</x:v>
      </x:c>
      <x:c r="B18" s="26" t="b">
        <x:v>1</x:v>
      </x:c>
      <x:c r="C18" t="str">
        <x:v>Narrower than mν</x:v>
      </x:c>
      <x:c r="E18" s="30" t="n">
        <x:v>0.2</x:v>
      </x:c>
      <x:c r="F18" s="32" t="n">
        <x:f>E18*2.355</x:f>
        <x:v>0.47100000000000003</x:v>
      </x:c>
      <x:c r="G18" s="32" t="n">
        <x:f>(1+(E18/$B$4)^2)^2</x:f>
        <x:v>25</x:v>
      </x:c>
      <x:c r="H18" t="str"/>
    </x:row>
    <x:row r="19">
      <x:c r="E19" s="30" t="n">
        <x:v>0.212</x:v>
      </x:c>
      <x:c r="F19" s="32" t="n">
        <x:f>E19*2.355</x:f>
        <x:v>0.49926</x:v>
      </x:c>
      <x:c r="G19" s="32" t="n">
        <x:f>(1+(E19/$B$4)^2)^2</x:f>
        <x:v>30.18843135999999</x:v>
      </x:c>
      <x:c r="H19" t="str">
        <x:v>≈0.5 eV FWHM</x:v>
      </x:c>
    </x:row>
    <x:row r="20">
      <x:c r="E20" s="30" t="n">
        <x:v>0.3</x:v>
      </x:c>
      <x:c r="F20" s="32" t="n">
        <x:f>E20*2.355</x:f>
        <x:v>0.7065</x:v>
      </x:c>
      <x:c r="G20" s="32" t="n">
        <x:f>(1+(E20/$B$4)^2)^2</x:f>
        <x:v>99.99999999999997</x:v>
      </x:c>
      <x:c r="H20" t="str"/>
    </x:row>
    <x:row r="21">
      <x:c r="E21" s="30" t="n">
        <x:v>0.5</x:v>
      </x:c>
      <x:c r="F21" s="32" t="n">
        <x:f>E21*2.355</x:f>
        <x:v>1.1775</x:v>
      </x:c>
      <x:c r="G21" s="32" t="n">
        <x:f>(1+(E21/$B$4)^2)^2</x:f>
        <x:v>676</x:v>
      </x:c>
      <x:c r="H21" t="str">
        <x:v>Large broadening</x:v>
      </x:c>
    </x:row>
  </x:sheetData>
  <x:mergeCells>
    <x:mergeCell ref="A1:F1"/>
  </x:mergeCells>
  <x:pageMargins left="0.7" right="0.7" top="0.75" bottom="0.75" header="0.3" footer="0.3"/>
  <x:tableParts count="3">
    <x:tablePart xmlns:r="http://schemas.openxmlformats.org/officeDocument/2006/relationships" r:id="R480892a3dfd84a3d"/>
    <x:tablePart xmlns:r="http://schemas.openxmlformats.org/officeDocument/2006/relationships" r:id="R4a1e4e64486b4149"/>
    <x:tablePart xmlns:r="http://schemas.openxmlformats.org/officeDocument/2006/relationships" r:id="R70b53734104a49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2" t="str">
        <x:v>Perfect-Resolution Endpoint Window Count Estimate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3">
      <x:c r="A3" s="13" t="str">
        <x:v>ΔE window (eV)</x:v>
      </x:c>
      <x:c r="B3" s="13" t="str">
        <x:v>r = Nm/N0</x:v>
      </x:c>
      <x:c r="C3" s="13" t="str">
        <x:v>δ = 1-r</x:v>
      </x:c>
      <x:c r="D3" s="13" t="str">
        <x:v>Counts needed (Zσ)</x:v>
      </x:c>
      <x:c r="E3" s="13" t="str">
        <x:v>Endpoint rate / pixel (events/yr)</x:v>
      </x:c>
      <x:c r="F3" s="13" t="str">
        <x:v>Detector-years / pixel</x:v>
      </x:c>
      <x:c r="G3" s="13" t="str">
        <x:v>Calendar yrs @ 1e6 px</x:v>
      </x:c>
      <x:c r="H3" s="13" t="str">
        <x:v>Calendar yrs @ 1e7 px</x:v>
      </x:c>
      <x:c r="I3" s="13" t="str">
        <x:v>Calendar yrs @ 1e8 px</x:v>
      </x:c>
    </x:row>
    <x:row r="4">
      <x:c r="A4" s="34" t="n">
        <x:f>Inputs!A14</x:f>
        <x:v>1</x:v>
      </x:c>
      <x:c r="B4" s="34" t="n">
        <x:f>IF(A4&gt;Inputs!$B$4,(1-(Inputs!$B$4^2/A4^2))^(3/2),0)</x:f>
        <x:v>0.9850375627355538</x:v>
      </x:c>
      <x:c r="C4" s="34" t="n">
        <x:f>1-B4</x:f>
        <x:v>0.014962437264446238</x:v>
      </x:c>
      <x:c r="D4" s="36" t="n">
        <x:f>Inputs!$B$9^2/(C4^2)</x:f>
        <x:v>4466.787735733112</x:v>
      </x:c>
      <x:c r="E4" s="38" t="n">
        <x:f>Inputs!$B$6*Inputs!$B$8*Inputs!$B$7*(A4/Inputs!$B$5)^3</x:f>
        <x:v>0.00012805478130306928</x:v>
      </x:c>
      <x:c r="F4" s="38" t="n">
        <x:f>D4/E4</x:f>
        <x:v>34881850.48835853</x:v>
      </x:c>
      <x:c r="G4" s="38" t="n">
        <x:f>F4/1000000</x:f>
        <x:v>34.88185048835853</x:v>
      </x:c>
      <x:c r="H4" s="38" t="n">
        <x:f>F4/10000000</x:f>
        <x:v>3.488185048835853</x:v>
      </x:c>
      <x:c r="I4" s="38" t="n">
        <x:f>F4/100000000</x:f>
        <x:v>0.3488185048835853</x:v>
      </x:c>
    </x:row>
    <x:row r="5">
      <x:c r="A5" s="34" t="n">
        <x:f>Inputs!A15</x:f>
        <x:v>0.5</x:v>
      </x:c>
      <x:c r="B5" s="34" t="n">
        <x:f>IF(A5&gt;Inputs!$B$4,(1-(Inputs!$B$4^2/A5^2))^(3/2),0)</x:f>
        <x:v>0.9406040612287403</x:v>
      </x:c>
      <x:c r="C5" s="34" t="n">
        <x:f>1-B5</x:f>
        <x:v>0.059395938771259704</x:v>
      </x:c>
      <x:c r="D5" s="36" t="n">
        <x:f>Inputs!$B$9^2/(C5^2)</x:f>
        <x:v>283.456550843289</x:v>
      </x:c>
      <x:c r="E5" s="38" t="n">
        <x:f>Inputs!$B$6*Inputs!$B$8*Inputs!$B$7*(A5/Inputs!$B$5)^3</x:f>
        <x:v>0.00001600684766288366</x:v>
      </x:c>
      <x:c r="F5" s="38" t="n">
        <x:f>D5/E5</x:f>
        <x:v>17708455.58182965</x:v>
      </x:c>
      <x:c r="G5" s="38" t="n">
        <x:f>F5/1000000</x:f>
        <x:v>17.70845558182965</x:v>
      </x:c>
      <x:c r="H5" s="38" t="n">
        <x:f>F5/10000000</x:f>
        <x:v>1.7708455581829647</x:v>
      </x:c>
      <x:c r="I5" s="38" t="n">
        <x:f>F5/100000000</x:f>
        <x:v>0.1770845558182965</x:v>
      </x:c>
    </x:row>
    <x:row r="6">
      <x:c r="A6" s="34" t="n">
        <x:f>Inputs!A16</x:f>
        <x:v>0.2</x:v>
      </x:c>
      <x:c r="B6" s="34" t="n">
        <x:f>IF(A6&gt;Inputs!$B$4,(1-(Inputs!$B$4^2/A6^2))^(3/2),0)</x:f>
        <x:v>0.649519052838329</x:v>
      </x:c>
      <x:c r="C6" s="34" t="n">
        <x:f>1-B6</x:f>
        <x:v>0.350480947161671</x:v>
      </x:c>
      <x:c r="D6" s="36" t="n">
        <x:f>Inputs!$B$9^2/(C6^2)</x:f>
        <x:v>8.140876611286773</x:v>
      </x:c>
      <x:c r="E6" s="38" t="n">
        <x:f>Inputs!$B$6*Inputs!$B$8*Inputs!$B$7*(A6/Inputs!$B$5)^3</x:f>
        <x:v>0.0000010244382504245547</x:v>
      </x:c>
      <x:c r="F6" s="38" t="n">
        <x:f>D6/E6</x:f>
        <x:v>7946673.806755044</x:v>
      </x:c>
      <x:c r="G6" s="38" t="n">
        <x:f>F6/1000000</x:f>
        <x:v>7.946673806755044</x:v>
      </x:c>
      <x:c r="H6" s="38" t="n">
        <x:f>F6/10000000</x:f>
        <x:v>0.7946673806755044</x:v>
      </x:c>
      <x:c r="I6" s="38" t="n">
        <x:f>F6/100000000</x:f>
        <x:v>0.07946673806755043</x:v>
      </x:c>
    </x:row>
    <x:row r="7">
      <x:c r="A7" s="34" t="n">
        <x:f>Inputs!A17</x:f>
        <x:v>0.1</x:v>
      </x:c>
      <x:c r="B7" s="34" t="n">
        <x:f>IF(A7&gt;Inputs!$B$4,(1-(Inputs!$B$4^2/A7^2))^(3/2),0)</x:f>
        <x:v>0</x:v>
      </x:c>
      <x:c r="C7" s="34" t="n">
        <x:f>1-B7</x:f>
        <x:v>1</x:v>
      </x:c>
      <x:c r="D7" s="36" t="n">
        <x:f>Inputs!$B$9^2/(C7^2)</x:f>
        <x:v>1</x:v>
      </x:c>
      <x:c r="E7" s="38" t="n">
        <x:f>Inputs!$B$6*Inputs!$B$8*Inputs!$B$7*(A7/Inputs!$B$5)^3</x:f>
        <x:v>1.2805478130306933e-7</x:v>
      </x:c>
      <x:c r="F7" s="38" t="n">
        <x:f>D7/E7</x:f>
        <x:v>7809157.844979515</x:v>
      </x:c>
      <x:c r="G7" s="38" t="n">
        <x:f>F7/1000000</x:f>
        <x:v>7.809157844979516</x:v>
      </x:c>
      <x:c r="H7" s="38" t="n">
        <x:f>F7/10000000</x:f>
        <x:v>0.7809157844979515</x:v>
      </x:c>
      <x:c r="I7" s="38" t="n">
        <x:f>F7/100000000</x:f>
        <x:v>0.07809157844979515</x:v>
      </x:c>
    </x:row>
    <x:row r="8">
      <x:c r="A8" s="34" t="n">
        <x:f>Inputs!A18</x:f>
        <x:v>0.05</x:v>
      </x:c>
      <x:c r="B8" s="34" t="n">
        <x:f>IF(A8&gt;Inputs!$B$4,(1-(Inputs!$B$4^2/A8^2))^(3/2),0)</x:f>
        <x:v>0</x:v>
      </x:c>
      <x:c r="C8" s="34" t="n">
        <x:f>1-B8</x:f>
        <x:v>1</x:v>
      </x:c>
      <x:c r="D8" s="36" t="n">
        <x:f>Inputs!$B$9^2/(C8^2)</x:f>
        <x:v>1</x:v>
      </x:c>
      <x:c r="E8" s="38" t="n">
        <x:f>Inputs!$B$6*Inputs!$B$8*Inputs!$B$7*(A8/Inputs!$B$5)^3</x:f>
        <x:v>1.6006847662883667e-8</x:v>
      </x:c>
      <x:c r="F8" s="38" t="n">
        <x:f>D8/E8</x:f>
        <x:v>62473262.75983612</x:v>
      </x:c>
      <x:c r="G8" s="38" t="n">
        <x:f>F8/1000000</x:f>
        <x:v>62.473262759836125</x:v>
      </x:c>
      <x:c r="H8" s="38" t="n">
        <x:f>F8/10000000</x:f>
        <x:v>6.247326275983612</x:v>
      </x:c>
      <x:c r="I8" s="38" t="n">
        <x:f>F8/100000000</x:f>
        <x:v>0.6247326275983612</x:v>
      </x:c>
    </x:row>
    <x:row r="11">
      <x:c r="A11" s="22" t="str">
        <x:v>Interpretation: the perfect-resolution estimate counts measured events in a sharp endpoint window. It does not include detector/source smearing.</x:v>
      </x:c>
    </x:row>
  </x:sheetData>
  <x:mergeCells>
    <x:mergeCell ref="A1:I1"/>
    <x:mergeCell ref="A11:I11"/>
  </x:mergeCells>
  <x:pageMargins left="0.7" right="0.7" top="0.75" bottom="0.75" header="0.3" footer="0.3"/>
  <x:tableParts count="1">
    <x:tablePart xmlns:r="http://schemas.openxmlformats.org/officeDocument/2006/relationships" r:id="R269ab75144604e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0" hidden="0" customWidth="1"/>
  </x:cols>
  <x:sheetData>
    <x:row r="1">
      <x:c r="A1" s="52" t="str">
        <x:v>Finite Energy-Resolution Scaling Estimate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3">
      <x:c r="A3" s="13" t="str">
        <x:v>σeff (eV)</x:v>
      </x:c>
      <x:c r="B3" s="13" t="str">
        <x:v>FWHM equiv. (eV)</x:v>
      </x:c>
      <x:c r="C3" s="13" t="str">
        <x:v>Penalty factor</x:v>
      </x:c>
      <x:c r="D3" s="13" t="str">
        <x:v>DY @ ΔE=1 eV</x:v>
      </x:c>
      <x:c r="E3" s="13" t="str">
        <x:v>DY @ ΔE=0.5 eV</x:v>
      </x:c>
      <x:c r="F3" s="13" t="str">
        <x:v>DY @ ΔE=0.2 eV</x:v>
      </x:c>
      <x:c r="G3" s="13" t="str">
        <x:v>DY @ ΔE=0.1 eV</x:v>
      </x:c>
      <x:c r="H3" s="13" t="str">
        <x:v>DY @ ΔE=0.05 eV</x:v>
      </x:c>
      <x:c r="I3" s="13" t="str">
        <x:v>Yrs @ 1e6 px, best</x:v>
      </x:c>
      <x:c r="J3" s="13" t="str">
        <x:v>Yrs @ 1e7 px, best</x:v>
      </x:c>
      <x:c r="K3" s="13" t="str">
        <x:v>Best ΔE</x:v>
      </x:c>
    </x:row>
    <x:row r="4">
      <x:c r="A4" s="40" t="n">
        <x:f>Inputs!E14</x:f>
        <x:v>0</x:v>
      </x:c>
      <x:c r="B4" s="40" t="n">
        <x:f>A4*2.355</x:f>
        <x:v>0</x:v>
      </x:c>
      <x:c r="C4" s="48" t="n">
        <x:f>(1+(A4/Inputs!$B$4)^2)^2</x:f>
        <x:v>1</x:v>
      </x:c>
      <x:c r="D4" s="49" t="n">
        <x:f>'Perfect Resolution'!$F$4*C4</x:f>
        <x:v>34881850.48835853</x:v>
      </x:c>
      <x:c r="E4" s="49" t="n">
        <x:f>'Perfect Resolution'!$F$5*C4</x:f>
        <x:v>17708455.58182965</x:v>
      </x:c>
      <x:c r="F4" s="49" t="n">
        <x:f>'Perfect Resolution'!$F$6*C4</x:f>
        <x:v>7946673.806755044</x:v>
      </x:c>
      <x:c r="G4" s="49" t="n">
        <x:f>'Perfect Resolution'!$F$7*C4</x:f>
        <x:v>7809157.844979515</x:v>
      </x:c>
      <x:c r="H4" s="49" t="n">
        <x:f>'Perfect Resolution'!$F$8*C4</x:f>
        <x:v>62473262.75983612</x:v>
      </x:c>
      <x:c r="I4" s="49" t="n">
        <x:f>MIN(D4:H4)/1000000</x:f>
        <x:v>7.809157844979516</x:v>
      </x:c>
      <x:c r="J4" s="49" t="n">
        <x:f>MIN(D4:H4)/10000000</x:f>
        <x:v>0.7809157844979515</x:v>
      </x:c>
      <x:c r="K4" s="43" t="str">
        <x:f>INDEX($D$3:$H$3,1,MATCH(MIN(D4:H4),D4:H4,0))</x:f>
        <x:v>DY @ ΔE=0.1 eV</x:v>
      </x:c>
    </x:row>
    <x:row r="5">
      <x:c r="A5" s="40" t="n">
        <x:f>Inputs!E15</x:f>
        <x:v>0.05</x:v>
      </x:c>
      <x:c r="B5" s="40" t="n">
        <x:f>A5*2.355</x:f>
        <x:v>0.11775000000000001</x:v>
      </x:c>
      <x:c r="C5" s="48" t="n">
        <x:f>(1+(A5/Inputs!$B$4)^2)^2</x:f>
        <x:v>1.5625</x:v>
      </x:c>
      <x:c r="D5" s="49" t="n">
        <x:f>'Perfect Resolution'!$F$4*C5</x:f>
        <x:v>54502891.3880602</x:v>
      </x:c>
      <x:c r="E5" s="49" t="n">
        <x:f>'Perfect Resolution'!$F$5*C5</x:f>
        <x:v>27669461.846608825</x:v>
      </x:c>
      <x:c r="F5" s="49" t="n">
        <x:f>'Perfect Resolution'!$F$6*C5</x:f>
        <x:v>12416677.823054755</x:v>
      </x:c>
      <x:c r="G5" s="49" t="n">
        <x:f>'Perfect Resolution'!$F$7*C5</x:f>
        <x:v>12201809.132780492</x:v>
      </x:c>
      <x:c r="H5" s="49" t="n">
        <x:f>'Perfect Resolution'!$F$8*C5</x:f>
        <x:v>97614473.06224394</x:v>
      </x:c>
      <x:c r="I5" s="49" t="n">
        <x:f>MIN(D5:H5)/1000000</x:f>
        <x:v>12.201809132780493</x:v>
      </x:c>
      <x:c r="J5" s="49" t="n">
        <x:f>MIN(D5:H5)/10000000</x:f>
        <x:v>1.2201809132780492</x:v>
      </x:c>
      <x:c r="K5" s="43" t="str">
        <x:f>INDEX($D$3:$H$3,1,MATCH(MIN(D5:H5),D5:H5,0))</x:f>
        <x:v>DY @ ΔE=0.1 eV</x:v>
      </x:c>
    </x:row>
    <x:row r="6">
      <x:c r="A6" s="40" t="n">
        <x:f>Inputs!E16</x:f>
        <x:v>0.1</x:v>
      </x:c>
      <x:c r="B6" s="40" t="n">
        <x:f>A6*2.355</x:f>
        <x:v>0.23550000000000001</x:v>
      </x:c>
      <x:c r="C6" s="48" t="n">
        <x:f>(1+(A6/Inputs!$B$4)^2)^2</x:f>
        <x:v>4</x:v>
      </x:c>
      <x:c r="D6" s="49" t="n">
        <x:f>'Perfect Resolution'!$F$4*C6</x:f>
        <x:v>139527401.9534341</x:v>
      </x:c>
      <x:c r="E6" s="49" t="n">
        <x:f>'Perfect Resolution'!$F$5*C6</x:f>
        <x:v>70833822.3273186</x:v>
      </x:c>
      <x:c r="F6" s="49" t="n">
        <x:f>'Perfect Resolution'!$F$6*C6</x:f>
        <x:v>31786695.227020174</x:v>
      </x:c>
      <x:c r="G6" s="49" t="n">
        <x:f>'Perfect Resolution'!$F$7*C6</x:f>
        <x:v>31236631.37991806</x:v>
      </x:c>
      <x:c r="H6" s="49" t="n">
        <x:f>'Perfect Resolution'!$F$8*C6</x:f>
        <x:v>249893051.0393445</x:v>
      </x:c>
      <x:c r="I6" s="49" t="n">
        <x:f>MIN(D6:H6)/1000000</x:f>
        <x:v>31.236631379918062</x:v>
      </x:c>
      <x:c r="J6" s="49" t="n">
        <x:f>MIN(D6:H6)/10000000</x:f>
        <x:v>3.123663137991806</x:v>
      </x:c>
      <x:c r="K6" s="43" t="str">
        <x:f>INDEX($D$3:$H$3,1,MATCH(MIN(D6:H6),D6:H6,0))</x:f>
        <x:v>DY @ ΔE=0.1 eV</x:v>
      </x:c>
    </x:row>
    <x:row r="7">
      <x:c r="A7" s="40" t="n">
        <x:f>Inputs!E17</x:f>
        <x:v>0.15</x:v>
      </x:c>
      <x:c r="B7" s="40" t="n">
        <x:f>A7*2.355</x:f>
        <x:v>0.35325</x:v>
      </x:c>
      <x:c r="C7" s="48" t="n">
        <x:f>(1+(A7/Inputs!$B$4)^2)^2</x:f>
        <x:v>10.562499999999996</x:v>
      </x:c>
      <x:c r="D7" s="49" t="n">
        <x:f>'Perfect Resolution'!$F$4*C7</x:f>
        <x:v>368439545.7832868</x:v>
      </x:c>
      <x:c r="E7" s="49" t="n">
        <x:f>'Perfect Resolution'!$F$5*C7</x:f>
        <x:v>187045562.0830756</x:v>
      </x:c>
      <x:c r="F7" s="49" t="n">
        <x:f>'Perfect Resolution'!$F$6*C7</x:f>
        <x:v>83936742.08385012</x:v>
      </x:c>
      <x:c r="G7" s="49" t="n">
        <x:f>'Perfect Resolution'!$F$7*C7</x:f>
        <x:v>82484229.73759611</x:v>
      </x:c>
      <x:c r="H7" s="49" t="n">
        <x:f>'Perfect Resolution'!$F$8*C7</x:f>
        <x:v>659873837.9007689</x:v>
      </x:c>
      <x:c r="I7" s="49" t="n">
        <x:f>MIN(D7:H7)/1000000</x:f>
        <x:v>82.48422973759611</x:v>
      </x:c>
      <x:c r="J7" s="49" t="n">
        <x:f>MIN(D7:H7)/10000000</x:f>
        <x:v>8.248422973759611</x:v>
      </x:c>
      <x:c r="K7" s="43" t="str">
        <x:f>INDEX($D$3:$H$3,1,MATCH(MIN(D7:H7),D7:H7,0))</x:f>
        <x:v>DY @ ΔE=0.1 eV</x:v>
      </x:c>
    </x:row>
    <x:row r="8">
      <x:c r="A8" s="40" t="n">
        <x:f>Inputs!E18</x:f>
        <x:v>0.2</x:v>
      </x:c>
      <x:c r="B8" s="40" t="n">
        <x:f>A8*2.355</x:f>
        <x:v>0.47100000000000003</x:v>
      </x:c>
      <x:c r="C8" s="48" t="n">
        <x:f>(1+(A8/Inputs!$B$4)^2)^2</x:f>
        <x:v>25</x:v>
      </x:c>
      <x:c r="D8" s="49" t="n">
        <x:f>'Perfect Resolution'!$F$4*C8</x:f>
        <x:v>872046262.2089632</x:v>
      </x:c>
      <x:c r="E8" s="49" t="n">
        <x:f>'Perfect Resolution'!$F$5*C8</x:f>
        <x:v>442711389.5457412</x:v>
      </x:c>
      <x:c r="F8" s="49" t="n">
        <x:f>'Perfect Resolution'!$F$6*C8</x:f>
        <x:v>198666845.16887608</x:v>
      </x:c>
      <x:c r="G8" s="49" t="n">
        <x:f>'Perfect Resolution'!$F$7*C8</x:f>
        <x:v>195228946.12448788</x:v>
      </x:c>
      <x:c r="H8" s="49" t="n">
        <x:f>'Perfect Resolution'!$F$8*C8</x:f>
        <x:v>1561831568.995903</x:v>
      </x:c>
      <x:c r="I8" s="49" t="n">
        <x:f>MIN(D8:H8)/1000000</x:f>
        <x:v>195.2289461244879</x:v>
      </x:c>
      <x:c r="J8" s="49" t="n">
        <x:f>MIN(D8:H8)/10000000</x:f>
        <x:v>19.522894612448788</x:v>
      </x:c>
      <x:c r="K8" s="43" t="str">
        <x:f>INDEX($D$3:$H$3,1,MATCH(MIN(D8:H8),D8:H8,0))</x:f>
        <x:v>DY @ ΔE=0.1 eV</x:v>
      </x:c>
    </x:row>
    <x:row r="9">
      <x:c r="A9" s="40" t="n">
        <x:f>Inputs!E19</x:f>
        <x:v>0.212</x:v>
      </x:c>
      <x:c r="B9" s="40" t="n">
        <x:f>A9*2.355</x:f>
        <x:v>0.49926</x:v>
      </x:c>
      <x:c r="C9" s="48" t="n">
        <x:f>(1+(A9/Inputs!$B$4)^2)^2</x:f>
        <x:v>30.18843135999999</x:v>
      </x:c>
      <x:c r="D9" s="49" t="n">
        <x:f>'Perfect Resolution'!$F$4*C9</x:f>
        <x:v>1053028349.1775935</x:v>
      </x:c>
      <x:c r="E9" s="49" t="n">
        <x:f>'Perfect Resolution'!$F$5*C9</x:f>
        <x:v>534590495.823673</x:v>
      </x:c>
      <x:c r="F9" s="49" t="n">
        <x:f>'Perfect Resolution'!$F$6*C9</x:f>
        <x:v>239897616.75553444</x:v>
      </x:c>
      <x:c r="G9" s="49" t="n">
        <x:f>'Perfect Resolution'!$F$7*C9</x:f>
        <x:v>235746225.58256954</x:v>
      </x:c>
      <x:c r="H9" s="49" t="n">
        <x:f>'Perfect Resolution'!$F$8*C9</x:f>
        <x:v>1885969804.6605563</x:v>
      </x:c>
      <x:c r="I9" s="49" t="n">
        <x:f>MIN(D9:H9)/1000000</x:f>
        <x:v>235.74622558256954</x:v>
      </x:c>
      <x:c r="J9" s="49" t="n">
        <x:f>MIN(D9:H9)/10000000</x:f>
        <x:v>23.574622558256955</x:v>
      </x:c>
      <x:c r="K9" s="43" t="str">
        <x:f>INDEX($D$3:$H$3,1,MATCH(MIN(D9:H9),D9:H9,0))</x:f>
        <x:v>DY @ ΔE=0.1 eV</x:v>
      </x:c>
    </x:row>
    <x:row r="10">
      <x:c r="A10" s="40" t="n">
        <x:f>Inputs!E20</x:f>
        <x:v>0.3</x:v>
      </x:c>
      <x:c r="B10" s="40" t="n">
        <x:f>A10*2.355</x:f>
        <x:v>0.7065</x:v>
      </x:c>
      <x:c r="C10" s="48" t="n">
        <x:f>(1+(A10/Inputs!$B$4)^2)^2</x:f>
        <x:v>99.99999999999997</x:v>
      </x:c>
      <x:c r="D10" s="49" t="n">
        <x:f>'Perfect Resolution'!$F$4*C10</x:f>
        <x:v>3488185048.8358517</x:v>
      </x:c>
      <x:c r="E10" s="49" t="n">
        <x:f>'Perfect Resolution'!$F$5*C10</x:f>
        <x:v>1770845558.1829643</x:v>
      </x:c>
      <x:c r="F10" s="49" t="n">
        <x:f>'Perfect Resolution'!$F$6*C10</x:f>
        <x:v>794667380.6755041</x:v>
      </x:c>
      <x:c r="G10" s="49" t="n">
        <x:f>'Perfect Resolution'!$F$7*C10</x:f>
        <x:v>780915784.4979513</x:v>
      </x:c>
      <x:c r="H10" s="49" t="n">
        <x:f>'Perfect Resolution'!$F$8*C10</x:f>
        <x:v>6247326275.98361</x:v>
      </x:c>
      <x:c r="I10" s="49" t="n">
        <x:f>MIN(D10:H10)/1000000</x:f>
        <x:v>780.9157844979512</x:v>
      </x:c>
      <x:c r="J10" s="49" t="n">
        <x:f>MIN(D10:H10)/10000000</x:f>
        <x:v>78.09157844979512</x:v>
      </x:c>
      <x:c r="K10" s="43" t="str">
        <x:f>INDEX($D$3:$H$3,1,MATCH(MIN(D10:H10),D10:H10,0))</x:f>
        <x:v>DY @ ΔE=0.1 eV</x:v>
      </x:c>
    </x:row>
    <x:row r="11">
      <x:c r="A11" s="40" t="n">
        <x:f>Inputs!E21</x:f>
        <x:v>0.5</x:v>
      </x:c>
      <x:c r="B11" s="40" t="n">
        <x:f>A11*2.355</x:f>
        <x:v>1.1775</x:v>
      </x:c>
      <x:c r="C11" s="48" t="n">
        <x:f>(1+(A11/Inputs!$B$4)^2)^2</x:f>
        <x:v>676</x:v>
      </x:c>
      <x:c r="D11" s="49" t="n">
        <x:f>'Perfect Resolution'!$F$4*C11</x:f>
        <x:v>23580130930.130363</x:v>
      </x:c>
      <x:c r="E11" s="49" t="n">
        <x:f>'Perfect Resolution'!$F$5*C11</x:f>
        <x:v>11970915973.316843</x:v>
      </x:c>
      <x:c r="F11" s="49" t="n">
        <x:f>'Perfect Resolution'!$F$6*C11</x:f>
        <x:v>5371951493.366409</x:v>
      </x:c>
      <x:c r="G11" s="49" t="n">
        <x:f>'Perfect Resolution'!$F$7*C11</x:f>
        <x:v>5278990703.206152</x:v>
      </x:c>
      <x:c r="H11" s="49" t="n">
        <x:f>'Perfect Resolution'!$F$8*C11</x:f>
        <x:v>42231925625.649216</x:v>
      </x:c>
      <x:c r="I11" s="49" t="n">
        <x:f>MIN(D11:H11)/1000000</x:f>
        <x:v>5278.990703206152</x:v>
      </x:c>
      <x:c r="J11" s="49" t="n">
        <x:f>MIN(D11:H11)/10000000</x:f>
        <x:v>527.8990703206152</x:v>
      </x:c>
      <x:c r="K11" s="43" t="str">
        <x:f>INDEX($D$3:$H$3,1,MATCH(MIN(D11:H11),D11:H11,0))</x:f>
        <x:v>DY @ ΔE=0.1 eV</x:v>
      </x:c>
    </x:row>
    <x:row r="13">
      <x:c r="A13" s="22" t="str">
        <x:v>Scaling used: Nreq(σ) ≈ Nreq(0) × [1 + (σeff/mν)^2]^2. This converges to the perfect-resolution estimate at σeff=0 and gives ~σ^4 scaling when σeff &gt;&gt; mν.</x:v>
      </x:c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</x:sheetData>
  <x:mergeCells>
    <x:mergeCell ref="A1:K1"/>
    <x:mergeCell ref="A13:K13"/>
  </x:mergeCells>
  <x:pageMargins left="0.7" right="0.7" top="0.75" bottom="0.75" header="0.3" footer="0.3"/>
  <x:drawing xmlns:r="http://schemas.openxmlformats.org/officeDocument/2006/relationships" r:id="Rdad16558f7ea4f5f"/>
  <x:tableParts count="1">
    <x:tablePart xmlns:r="http://schemas.openxmlformats.org/officeDocument/2006/relationships" r:id="R53b53889225b4e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60" hidden="0" customWidth="1"/>
  </x:cols>
  <x:sheetData>
    <x:row r="1">
      <x:c r="A1" s="52" t="str">
        <x:v>Model Notes and Formula Reference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3">
      <x:c r="A3" s="13" t="str">
        <x:v>Topic</x:v>
      </x:c>
      <x:c r="B3" s="13" t="str">
        <x:v>Formula / description</x:v>
      </x:c>
      <x:c r="C3" s="13" t="str">
        <x:v>Comment</x:v>
      </x:c>
    </x:row>
    <x:row r="4">
      <x:c r="A4" t="str">
        <x:v>Endpoint variable</x:v>
      </x:c>
      <x:c r="B4" t="str">
        <x:v>w = E0 - Ee</x:v>
      </x:c>
      <x:c r="C4" t="str">
        <x:v>Energy left for neutrino/recoil/final states.</x:v>
      </x:c>
    </x:row>
    <x:row r="5">
      <x:c r="A5" t="str">
        <x:v>Endpoint spectrum</x:v>
      </x:c>
      <x:c r="B5" t="str">
        <x:v>dN/dw ∝ w*sqrt(w^2 - mν^2)</x:v>
      </x:c>
      <x:c r="C5" t="str">
        <x:v>Slowly varying factors neglected.</x:v>
      </x:c>
    </x:row>
    <x:row r="6">
      <x:c r="A6" t="str">
        <x:v>Perfect count ratio</x:v>
      </x:c>
      <x:c r="B6" t="str">
        <x:v>r = (1 - mν^2/ΔE^2)^(3/2)</x:v>
      </x:c>
      <x:c r="C6" t="str">
        <x:v>Valid only for ΔE &gt; mν and perfect energy resolution.</x:v>
      </x:c>
    </x:row>
    <x:row r="7">
      <x:c r="A7" t="str">
        <x:v>Fractional deficit</x:v>
      </x:c>
      <x:c r="B7" t="str">
        <x:v>δ = 1 - r</x:v>
      </x:c>
      <x:c r="C7" t="str">
        <x:v>Difference between mν=0 and finite mν counts in the window.</x:v>
      </x:c>
    </x:row>
    <x:row r="8">
      <x:c r="A8" t="str">
        <x:v>Counts required</x:v>
      </x:c>
      <x:c r="B8" t="str">
        <x:v>Nreq = Z^2/δ^2</x:v>
      </x:c>
      <x:c r="C8" t="str">
        <x:v>Simple Poisson single-window estimate.</x:v>
      </x:c>
    </x:row>
    <x:row r="9">
      <x:c r="A9" t="str">
        <x:v>Endpoint event rate</x:v>
      </x:c>
      <x:c r="B9" t="str">
        <x:v>R = A * seconds/year * facceptance * (ΔE/Q)^3</x:v>
      </x:c>
      <x:c r="C9" t="str">
        <x:v>Uses total activity times endpoint fraction.</x:v>
      </x:c>
    </x:row>
    <x:row r="10">
      <x:c r="A10" t="str">
        <x:v>Angular acceptance</x:v>
      </x:c>
      <x:c r="B10" t="str">
        <x:v>0.5*(1 - 1/sqrt(2)) = 0.146</x:v>
      </x:c>
      <x:c r="C10" t="str">
        <x:v>Upward hemisphere plus 0.5 endpoint blocking voltage.</x:v>
      </x:c>
    </x:row>
    <x:row r="11">
      <x:c r="A11" t="str">
        <x:v>Finite resolution scaling</x:v>
      </x:c>
      <x:c r="B11" t="str">
        <x:v>Penalty ≈ [1 + (σeff/mν)^2]^2</x:v>
      </x:c>
      <x:c r="C11" t="str">
        <x:v>Rule of thumb; not a substitute for a full convolved spectrum fit.</x:v>
      </x:c>
    </x:row>
    <x:row r="12">
      <x:c r="A12" t="str">
        <x:v>Broad smearing limit</x:v>
      </x:c>
      <x:c r="B12" t="str">
        <x:v>Penalty ∝ (σeff/mν)^4</x:v>
      </x:c>
      <x:c r="C12" t="str">
        <x:v>Because the endpoint is sensitive to mν^2 and statistics scale as inverse square of fractional effect.</x:v>
      </x:c>
    </x:row>
    <x:row r="13">
      <x:c r="A13" t="str">
        <x:v>Gaussian widths</x:v>
      </x:c>
      <x:c r="B13" t="str">
        <x:v>σ = FWHM/2.355</x:v>
      </x:c>
      <x:c r="C13" t="str">
        <x:v>Use when zero-point motion/source broadening is quoted as FWHM.</x:v>
      </x:c>
    </x:row>
    <x:row r="14">
      <x:c r="A14" t="str">
        <x:v>Recommended next step</x:v>
      </x:c>
      <x:c r="B14" t="str">
        <x:v>Monte Carlo or likelihood fit with convolved response</x:v>
      </x:c>
      <x:c r="C14" t="str">
        <x:v>Fit mν², endpoint, amplitude, background, and resolution/source-response nuisance terms.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2b9e38d1814353"/>
  </x:tableParts>
</x:worksheet>
</file>