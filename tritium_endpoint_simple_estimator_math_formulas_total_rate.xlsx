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mc of tritium graphene experiment/"/>
    </mc:Choice>
  </mc:AlternateContent>
  <xr:revisionPtr revIDLastSave="47" documentId="11_E7C10170D7113C482F24618B1DE103C1A673B306" xr6:coauthVersionLast="47" xr6:coauthVersionMax="47" xr10:uidLastSave="{0835B91B-0934-492E-8283-9D4650B7E0FF}"/>
  <bookViews>
    <workbookView xWindow="57570" yWindow="-4545" windowWidth="22635" windowHeight="19530" xr2:uid="{00000000-000D-0000-FFFF-FFFF00000000}"/>
  </bookViews>
  <sheets>
    <sheet name="Estimator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3" i="1"/>
  <c r="B28" i="1"/>
  <c r="B23" i="1"/>
  <c r="B22" i="1"/>
  <c r="H7" i="1" s="1"/>
  <c r="B20" i="1"/>
  <c r="H6" i="1" s="1"/>
  <c r="B17" i="1"/>
  <c r="B18" i="1" s="1"/>
  <c r="B19" i="1" s="1"/>
  <c r="H8" i="1"/>
  <c r="H5" i="1" l="1"/>
  <c r="B24" i="1"/>
  <c r="B26" i="1" s="1"/>
  <c r="H4" i="1" s="1"/>
  <c r="B25" i="1" l="1"/>
  <c r="B27" i="1" s="1"/>
</calcChain>
</file>

<file path=xl/sharedStrings.xml><?xml version="1.0" encoding="utf-8"?>
<sst xmlns="http://schemas.openxmlformats.org/spreadsheetml/2006/main" count="103" uniqueCount="87">
  <si>
    <t>Tritium Endpoint Mass Measurement — Simple Count Estimator</t>
  </si>
  <si>
    <t>Input</t>
  </si>
  <si>
    <t>Value</t>
  </si>
  <si>
    <t>Units</t>
  </si>
  <si>
    <t>Notes</t>
  </si>
  <si>
    <t>Quick interpretation</t>
  </si>
  <si>
    <t>Neutrino mass, mν</t>
  </si>
  <si>
    <t>eV</t>
  </si>
  <si>
    <t>Mass hypothesis to distinguish from zero</t>
  </si>
  <si>
    <t>Main result</t>
  </si>
  <si>
    <t>Finite-resolution calendar years</t>
  </si>
  <si>
    <t>Endpoint window, ΔE</t>
  </si>
  <si>
    <t>Perfect-resolution counting window below endpoint</t>
  </si>
  <si>
    <t>Counts needed</t>
  </si>
  <si>
    <t>With finite-resolution scaling</t>
  </si>
  <si>
    <t>Effective energy resolution, σ_eff</t>
  </si>
  <si>
    <t>eV σ</t>
  </si>
  <si>
    <t>Gaussian sigma; detector + zero-point motion in quadrature</t>
  </si>
  <si>
    <t>Resolution penalty</t>
  </si>
  <si>
    <t>Approximate multiplier</t>
  </si>
  <si>
    <t>Desired significance, Z</t>
  </si>
  <si>
    <t>σ</t>
  </si>
  <si>
    <t>Use 1 for 1σ, 3 for 3σ</t>
  </si>
  <si>
    <t>Endpoint rate</t>
  </si>
  <si>
    <t>Events / pixel / year</t>
  </si>
  <si>
    <t>Tritium activity per pixel</t>
  </si>
  <si>
    <t>Bq</t>
  </si>
  <si>
    <t>For ~1e11 T atoms in 100 µm square, two partial layers</t>
  </si>
  <si>
    <t>Acceptance</t>
  </si>
  <si>
    <t>Upward + 0.5 blocking</t>
  </si>
  <si>
    <t>Endpoint energy, Q</t>
  </si>
  <si>
    <t>Tritium beta endpoint scale</t>
  </si>
  <si>
    <t>Angular / transport acceptance</t>
  </si>
  <si>
    <t>fraction</t>
  </si>
  <si>
    <t>Upward hemisphere × 0.5 endpoint blocking voltage</t>
  </si>
  <si>
    <t>Number of pixels</t>
  </si>
  <si>
    <t>pixels</t>
  </si>
  <si>
    <t>For converting detector-years to calendar years</t>
  </si>
  <si>
    <t>Formula</t>
  </si>
  <si>
    <t>Output</t>
  </si>
  <si>
    <t>Meaning</t>
  </si>
  <si>
    <t>Perfect-resolution count ratio, r = Nm/N0</t>
  </si>
  <si>
    <t>Finite-mass counts divided by zero-mass counts in window</t>
  </si>
  <si>
    <t>r = Nₘ/N₀ = [1 − (mν/ΔE)²]³ᐟ²</t>
  </si>
  <si>
    <t>Perfect-resolution fractional deficit, δ = 1-r</t>
  </si>
  <si>
    <t>Signal fraction in simple counting test</t>
  </si>
  <si>
    <t>δ = 1 − r</t>
  </si>
  <si>
    <t>Counts needed, perfect resolution</t>
  </si>
  <si>
    <t>counts</t>
  </si>
  <si>
    <t>Detected zero-mass-window counts needed for chosen Z</t>
  </si>
  <si>
    <t>N₀,req = Z²/δ²</t>
  </si>
  <si>
    <t>Resolution penalty factor</t>
  </si>
  <si>
    <t>×</t>
  </si>
  <si>
    <t>Approx. [1+(σ_eff/mν)^2]^2</t>
  </si>
  <si>
    <t>Pσ = [1 + (σeff/mν)²]²</t>
  </si>
  <si>
    <t>Counts needed with finite-resolution scaling</t>
  </si>
  <si>
    <t>Perfect-resolution counts × penalty</t>
  </si>
  <si>
    <t>Nσ,req = N₀,req · Pσ</t>
  </si>
  <si>
    <t>Total accepted count rate per sensor</t>
  </si>
  <si>
    <t>events/s</t>
  </si>
  <si>
    <t>Total accepted count rate using activity × acceptance</t>
  </si>
  <si>
    <t>Rtotal = A · f</t>
  </si>
  <si>
    <t>Endpoint event rate per pixel</t>
  </si>
  <si>
    <t>events/year</t>
  </si>
  <si>
    <t>Massless rate in the chosen endpoint window, after acceptance</t>
  </si>
  <si>
    <t>RΔE = A · (ΔE/Q)³ · f · seconds/year</t>
  </si>
  <si>
    <t>Detector-years needed, perfect resolution</t>
  </si>
  <si>
    <t>detector-years</t>
  </si>
  <si>
    <t>Counts needed ÷ endpoint event rate per pixel</t>
  </si>
  <si>
    <t>Y₀ = N₀,req/RΔE</t>
  </si>
  <si>
    <t>Detector-years needed, finite-resolution scaling</t>
  </si>
  <si>
    <t>Finite-resolution counts ÷ endpoint event rate per pixel</t>
  </si>
  <si>
    <t>Yσ = Nσ,req/RΔE</t>
  </si>
  <si>
    <t>Calendar years, perfect resolution</t>
  </si>
  <si>
    <t>years</t>
  </si>
  <si>
    <t>Detector-years ÷ number of pixels</t>
  </si>
  <si>
    <t>t₀ = Y₀/Npixels</t>
  </si>
  <si>
    <t>Calendar years, finite-resolution scaling</t>
  </si>
  <si>
    <t>tσ = Yσ/Npixels</t>
  </si>
  <si>
    <t>FWHM equivalent of σ_eff</t>
  </si>
  <si>
    <t>eV FWHM</t>
  </si>
  <si>
    <t>2.355 × σ_eff</t>
  </si>
  <si>
    <t>FWHM = 2.355 · σeff</t>
  </si>
  <si>
    <t>Note: The total accepted count-rate row uses Rtotal = activity × acceptance. If the acceptance is only an endpoint/angular approximation, replace it with a full energy-dependent transmission integral for a more exact total detector rate.</t>
  </si>
  <si>
    <t>The Estimator sheet keeps actual calculations in the result cells, while the Formula column shows human-readable math notation rather than Excel formulas.</t>
  </si>
  <si>
    <t>Number of chips</t>
  </si>
  <si>
    <t>Number of sensors per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</si>
</sst>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111827"/>
      <name val="Carlito"/>
    </font>
    <font>
      <b/>
      <sz val="11"/>
      <color rgb="FFFFFFFF"/>
      <name val="Cambria Math"/>
    </font>
    <font>
      <i/>
      <sz val="11"/>
      <color rgb="FF6B7280"/>
      <name val="Cambria Math"/>
    </font>
    <font>
      <sz val="11"/>
      <name val="Cambria Math"/>
    </font>
    <font>
      <sz val="11"/>
      <color rgb="FF374151"/>
      <name val="Cambria Math"/>
    </font>
    <font>
      <i/>
      <sz val="11"/>
      <color rgb="FF374151"/>
      <name val="Carlito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9FAFB"/>
      </patternFill>
    </fill>
    <fill>
      <patternFill patternType="solid">
        <fgColor rgb="FF0F766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7" borderId="0" applyNumberFormat="0" applyBorder="0" applyAlignment="0" applyProtection="0"/>
  </cellStyleXfs>
  <cellXfs count="24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4" fillId="2" borderId="0" xfId="0" applyFont="1" applyFill="1"/>
    <xf numFmtId="0" fontId="1" fillId="2" borderId="0" xfId="0" applyFont="1" applyFill="1"/>
    <xf numFmtId="0" fontId="9" fillId="0" borderId="0" xfId="0" applyFont="1" applyAlignment="1">
      <alignment wrapText="1"/>
    </xf>
    <xf numFmtId="0" fontId="0" fillId="0" borderId="0" xfId="0"/>
    <xf numFmtId="1" fontId="0" fillId="0" borderId="0" xfId="0" applyNumberForma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1" fontId="10" fillId="7" borderId="0" xfId="1" applyNumberFormat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4" workbookViewId="0">
      <selection activeCell="B17" sqref="B17:B18"/>
    </sheetView>
  </sheetViews>
  <sheetFormatPr defaultRowHeight="13.8"/>
  <cols>
    <col min="1" max="1" width="36" customWidth="1"/>
    <col min="2" max="3" width="18" customWidth="1"/>
    <col min="4" max="4" width="44" customWidth="1"/>
    <col min="5" max="5" width="36" customWidth="1"/>
    <col min="6" max="6" width="22" customWidth="1"/>
    <col min="7" max="7" width="28" customWidth="1"/>
    <col min="8" max="8" width="18" customWidth="1"/>
  </cols>
  <sheetData>
    <row r="1" spans="1:8" ht="22.35" customHeight="1">
      <c r="A1" s="17" t="s">
        <v>0</v>
      </c>
      <c r="B1" s="17"/>
      <c r="C1" s="17"/>
      <c r="D1" s="17"/>
      <c r="E1" s="17"/>
      <c r="F1" s="18"/>
      <c r="G1" s="18"/>
      <c r="H1" s="18"/>
    </row>
    <row r="3" spans="1:8" ht="33" customHeight="1">
      <c r="A3" s="1" t="s">
        <v>1</v>
      </c>
      <c r="B3" s="1" t="s">
        <v>2</v>
      </c>
      <c r="C3" s="1" t="s">
        <v>3</v>
      </c>
      <c r="D3" s="1" t="s">
        <v>4</v>
      </c>
      <c r="E3" s="7" t="s">
        <v>1</v>
      </c>
      <c r="F3" s="1" t="s">
        <v>5</v>
      </c>
      <c r="G3" s="1"/>
      <c r="H3" s="1"/>
    </row>
    <row r="4" spans="1:8" ht="33" customHeight="1">
      <c r="A4" t="s">
        <v>6</v>
      </c>
      <c r="B4" s="3">
        <v>0.1</v>
      </c>
      <c r="C4" t="s">
        <v>7</v>
      </c>
      <c r="D4" s="2" t="s">
        <v>8</v>
      </c>
      <c r="E4" s="8" t="s">
        <v>1</v>
      </c>
      <c r="F4" t="s">
        <v>9</v>
      </c>
      <c r="G4" t="s">
        <v>10</v>
      </c>
      <c r="H4">
        <f>B26</f>
        <v>5.1953724779487409</v>
      </c>
    </row>
    <row r="5" spans="1:8" ht="33" customHeight="1">
      <c r="A5" t="s">
        <v>11</v>
      </c>
      <c r="B5" s="3">
        <v>0.2</v>
      </c>
      <c r="C5" t="s">
        <v>7</v>
      </c>
      <c r="D5" s="2" t="s">
        <v>12</v>
      </c>
      <c r="E5" s="8" t="s">
        <v>1</v>
      </c>
      <c r="F5" t="s">
        <v>13</v>
      </c>
      <c r="G5" t="s">
        <v>14</v>
      </c>
      <c r="H5">
        <f>B21</f>
        <v>0.12720119705135585</v>
      </c>
    </row>
    <row r="6" spans="1:8" ht="33" customHeight="1">
      <c r="A6" t="s">
        <v>15</v>
      </c>
      <c r="B6" s="3">
        <v>0.05</v>
      </c>
      <c r="C6" t="s">
        <v>16</v>
      </c>
      <c r="D6" s="2" t="s">
        <v>17</v>
      </c>
      <c r="E6" s="8" t="s">
        <v>1</v>
      </c>
      <c r="F6" t="s">
        <v>18</v>
      </c>
      <c r="G6" t="s">
        <v>19</v>
      </c>
      <c r="H6">
        <f>B20</f>
        <v>1.5625</v>
      </c>
    </row>
    <row r="7" spans="1:8" ht="33" customHeight="1">
      <c r="A7" t="s">
        <v>20</v>
      </c>
      <c r="B7" s="4">
        <v>0.1</v>
      </c>
      <c r="C7" t="s">
        <v>21</v>
      </c>
      <c r="D7" s="2" t="s">
        <v>22</v>
      </c>
      <c r="E7" s="8" t="s">
        <v>1</v>
      </c>
      <c r="F7" t="s">
        <v>23</v>
      </c>
      <c r="G7" t="s">
        <v>24</v>
      </c>
      <c r="H7">
        <f>B22</f>
        <v>0.99848000000000003</v>
      </c>
    </row>
    <row r="8" spans="1:8" ht="33" customHeight="1">
      <c r="A8" t="s">
        <v>25</v>
      </c>
      <c r="B8" s="5">
        <v>178.3</v>
      </c>
      <c r="C8" t="s">
        <v>26</v>
      </c>
      <c r="D8" s="2" t="s">
        <v>27</v>
      </c>
      <c r="E8" s="8" t="s">
        <v>1</v>
      </c>
      <c r="F8" t="s">
        <v>28</v>
      </c>
      <c r="G8" t="s">
        <v>29</v>
      </c>
      <c r="H8">
        <f>B10</f>
        <v>5.5999999999999999E-3</v>
      </c>
    </row>
    <row r="9" spans="1:8" ht="33" customHeight="1">
      <c r="A9" t="s">
        <v>30</v>
      </c>
      <c r="B9" s="5">
        <v>18600</v>
      </c>
      <c r="C9" t="s">
        <v>7</v>
      </c>
      <c r="D9" s="2" t="s">
        <v>31</v>
      </c>
      <c r="E9" s="8" t="s">
        <v>1</v>
      </c>
    </row>
    <row r="10" spans="1:8" ht="33" customHeight="1">
      <c r="A10" t="s">
        <v>32</v>
      </c>
      <c r="B10" s="6">
        <v>5.5999999999999999E-3</v>
      </c>
      <c r="C10" t="s">
        <v>33</v>
      </c>
      <c r="D10" s="2" t="s">
        <v>34</v>
      </c>
      <c r="E10" s="8" t="s">
        <v>1</v>
      </c>
    </row>
    <row r="11" spans="1:8" ht="33" customHeight="1">
      <c r="A11" t="s">
        <v>85</v>
      </c>
      <c r="B11" s="5">
        <v>400</v>
      </c>
      <c r="D11" s="2"/>
      <c r="E11" s="8"/>
    </row>
    <row r="12" spans="1:8" ht="33" customHeight="1">
      <c r="A12" t="s">
        <v>86</v>
      </c>
      <c r="B12" s="5">
        <v>1000</v>
      </c>
      <c r="D12" s="2"/>
      <c r="E12" s="8"/>
    </row>
    <row r="13" spans="1:8" ht="33" customHeight="1">
      <c r="A13" t="s">
        <v>35</v>
      </c>
      <c r="B13" s="5">
        <f>B11*B12</f>
        <v>400000</v>
      </c>
      <c r="C13" t="s">
        <v>36</v>
      </c>
      <c r="D13" s="2" t="s">
        <v>37</v>
      </c>
      <c r="E13" s="8"/>
    </row>
    <row r="14" spans="1:8" ht="33" customHeight="1">
      <c r="D14" s="2"/>
      <c r="E14" s="9"/>
    </row>
    <row r="15" spans="1:8" ht="33" customHeight="1">
      <c r="D15" s="2"/>
      <c r="E15" s="9" t="s">
        <v>38</v>
      </c>
    </row>
    <row r="16" spans="1:8" ht="33" customHeight="1">
      <c r="A16" s="12" t="s">
        <v>39</v>
      </c>
      <c r="B16" s="12"/>
      <c r="C16" s="12" t="s">
        <v>3</v>
      </c>
      <c r="D16" s="13" t="s">
        <v>40</v>
      </c>
      <c r="E16" s="11" t="s">
        <v>38</v>
      </c>
    </row>
    <row r="17" spans="1:5" ht="33" customHeight="1">
      <c r="A17" s="14" t="s">
        <v>41</v>
      </c>
      <c r="B17" s="16">
        <f>IF(B5&gt;B4,(1-(B4/B5)^2)^(3/2),0)</f>
        <v>0.649519052838329</v>
      </c>
      <c r="C17" s="14"/>
      <c r="D17" s="14" t="s">
        <v>42</v>
      </c>
      <c r="E17" s="10" t="s">
        <v>43</v>
      </c>
    </row>
    <row r="18" spans="1:5" ht="33" customHeight="1">
      <c r="A18" s="14" t="s">
        <v>44</v>
      </c>
      <c r="B18" s="16">
        <f>1-B17</f>
        <v>0.350480947161671</v>
      </c>
      <c r="C18" s="14"/>
      <c r="D18" s="14" t="s">
        <v>45</v>
      </c>
      <c r="E18" s="10" t="s">
        <v>46</v>
      </c>
    </row>
    <row r="19" spans="1:5" ht="33" customHeight="1">
      <c r="A19" s="14" t="s">
        <v>47</v>
      </c>
      <c r="B19" s="23">
        <f>IF(B18&gt;0,B7^2/B18^2,"")</f>
        <v>8.1408766112867736E-2</v>
      </c>
      <c r="C19" s="14" t="s">
        <v>48</v>
      </c>
      <c r="D19" s="14" t="s">
        <v>49</v>
      </c>
      <c r="E19" s="10" t="s">
        <v>50</v>
      </c>
    </row>
    <row r="20" spans="1:5" ht="33" customHeight="1">
      <c r="A20" s="14" t="s">
        <v>51</v>
      </c>
      <c r="B20" s="21">
        <f>IF(B4&gt;0,(1+(B6/B4)^2)^2,"")</f>
        <v>1.5625</v>
      </c>
      <c r="C20" s="14" t="s">
        <v>52</v>
      </c>
      <c r="D20" s="14" t="s">
        <v>53</v>
      </c>
      <c r="E20" s="10" t="s">
        <v>54</v>
      </c>
    </row>
    <row r="21" spans="1:5" ht="33" customHeight="1">
      <c r="A21" s="14" t="s">
        <v>55</v>
      </c>
      <c r="B21" s="21">
        <f>B19*B20</f>
        <v>0.12720119705135585</v>
      </c>
      <c r="C21" s="14" t="s">
        <v>48</v>
      </c>
      <c r="D21" s="14" t="s">
        <v>56</v>
      </c>
      <c r="E21" s="10" t="s">
        <v>57</v>
      </c>
    </row>
    <row r="22" spans="1:5" ht="33" customHeight="1">
      <c r="A22" s="14" t="s">
        <v>58</v>
      </c>
      <c r="B22" s="22">
        <f>B8*B10</f>
        <v>0.99848000000000003</v>
      </c>
      <c r="C22" s="14" t="s">
        <v>59</v>
      </c>
      <c r="D22" s="14" t="s">
        <v>60</v>
      </c>
      <c r="E22" s="10" t="s">
        <v>61</v>
      </c>
    </row>
    <row r="23" spans="1:5" ht="33" customHeight="1">
      <c r="A23" s="14" t="s">
        <v>62</v>
      </c>
      <c r="B23" s="15">
        <f>B8*(B5/B9)^3*B10*365.25*24*3600</f>
        <v>3.917369084622874E-8</v>
      </c>
      <c r="C23" s="14" t="s">
        <v>63</v>
      </c>
      <c r="D23" s="14" t="s">
        <v>64</v>
      </c>
      <c r="E23" s="10" t="s">
        <v>65</v>
      </c>
    </row>
    <row r="24" spans="1:5" ht="33" customHeight="1">
      <c r="A24" s="14" t="s">
        <v>66</v>
      </c>
      <c r="B24" s="15">
        <f>IF(B23&gt;0,B19/B23,"")</f>
        <v>2078148.9911794965</v>
      </c>
      <c r="C24" s="14" t="s">
        <v>67</v>
      </c>
      <c r="D24" s="14" t="s">
        <v>68</v>
      </c>
      <c r="E24" s="10" t="s">
        <v>69</v>
      </c>
    </row>
    <row r="25" spans="1:5" ht="33" customHeight="1">
      <c r="A25" s="14" t="s">
        <v>70</v>
      </c>
      <c r="B25" s="15">
        <f>IF(B23&gt;0,B21/B23,"")</f>
        <v>3247107.798717964</v>
      </c>
      <c r="C25" s="14" t="s">
        <v>67</v>
      </c>
      <c r="D25" s="14" t="s">
        <v>71</v>
      </c>
      <c r="E25" s="10" t="s">
        <v>72</v>
      </c>
    </row>
    <row r="26" spans="1:5" ht="33" customHeight="1">
      <c r="A26" s="14" t="s">
        <v>73</v>
      </c>
      <c r="B26" s="21">
        <f>IF(B13&gt;0,B24/B13,"")</f>
        <v>5.1953724779487409</v>
      </c>
      <c r="C26" s="14" t="s">
        <v>74</v>
      </c>
      <c r="D26" s="14" t="s">
        <v>75</v>
      </c>
      <c r="E26" s="10" t="s">
        <v>76</v>
      </c>
    </row>
    <row r="27" spans="1:5" ht="33" customHeight="1">
      <c r="A27" s="14" t="s">
        <v>77</v>
      </c>
      <c r="B27" s="21">
        <f>IF(B13&gt;0,B25/B13,"")</f>
        <v>8.1177694967949101</v>
      </c>
      <c r="C27" s="14" t="s">
        <v>74</v>
      </c>
      <c r="D27" s="14" t="s">
        <v>75</v>
      </c>
      <c r="E27" s="10" t="s">
        <v>78</v>
      </c>
    </row>
    <row r="28" spans="1:5">
      <c r="A28" s="14" t="s">
        <v>79</v>
      </c>
      <c r="B28" s="15">
        <f>2.355*B6</f>
        <v>0.11775000000000001</v>
      </c>
      <c r="C28" s="14" t="s">
        <v>80</v>
      </c>
      <c r="D28" s="14" t="s">
        <v>81</v>
      </c>
      <c r="E28" s="14" t="s">
        <v>82</v>
      </c>
    </row>
    <row r="30" spans="1:5" ht="36" customHeight="1">
      <c r="A30" s="19" t="s">
        <v>83</v>
      </c>
      <c r="B30" s="20"/>
      <c r="C30" s="20"/>
      <c r="D30" s="20"/>
      <c r="E30" s="20"/>
    </row>
  </sheetData>
  <mergeCells count="2">
    <mergeCell ref="A1:H1"/>
    <mergeCell ref="A30:E30"/>
  </mergeCells>
  <pageMargins left="0.7" right="0.7" top="0.75" bottom="0.75" header="0.3" footer="0.3"/>
  <pageSetup orientation="portrait" copies="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cols>
    <col min="1" max="1" width="120" customWidth="1"/>
  </cols>
  <sheetData>
    <row r="1" spans="1:1" ht="27.6">
      <c r="A1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Estimator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Lindeman, Mark A (US 365H)</cp:lastModifiedBy>
  <dcterms:modified xsi:type="dcterms:W3CDTF">2026-06-05T00:10:32Z</dcterms:modified>
</cp:coreProperties>
</file>