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ea5b507bf941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or" sheetId="1" r:id="R472f530813664c98"/>
    <x:sheet xmlns:r="http://schemas.openxmlformats.org/officeDocument/2006/relationships" name="Notes" sheetId="2" r:id="R126e116857c045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"/>
    <x:numFmt numFmtId="202" formatCode="0"/>
    <x:numFmt numFmtId="203" formatCode="0.0000"/>
    <x:numFmt numFmtId="204" formatCode="0.00E+00"/>
  </x:numFmts>
  <x:fonts count="7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i/>
      <x:sz val="11"/>
      <x:color rgb="6B7280"/>
      <x:name val="Carlito"/>
    </x:font>
    <x:font>
      <x:sz val="9"/>
      <x:color rgb="374151"/>
      <x:name val="Consolas"/>
    </x:font>
    <x:font>
      <x:b/>
      <x:sz val="14"/>
      <x:color rgb="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0F766E"/>
      </x:patternFill>
    </x:fill>
    <x:fill>
      <x:patternFill patternType="solid">
        <x:fgColor rgb="F9FAFB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8562818cdf4447" /><Relationship Type="http://schemas.openxmlformats.org/officeDocument/2006/relationships/theme" Target="/xl/theme/theme1.xml" Id="R7dc5a0182a6c4a57" /><Relationship Type="http://schemas.openxmlformats.org/officeDocument/2006/relationships/sharedStrings" Target="/xl/sharedStrings.xml" Id="R157b67ef43f44295" /><Relationship Type="http://schemas.openxmlformats.org/officeDocument/2006/relationships/worksheet" Target="/xl/worksheets/sheet1.xml" Id="R472f530813664c98" /><Relationship Type="http://schemas.openxmlformats.org/officeDocument/2006/relationships/worksheet" Target="/xl/worksheets/sheet2.xml" Id="R126e116857c045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4" hidden="0" customWidth="1"/>
    <x:col min="4" max="4" width="36" hidden="0" customWidth="1"/>
    <x:col min="6" max="6" width="20" hidden="0" customWidth="1"/>
    <x:col min="7" max="7" width="28" hidden="0" customWidth="1"/>
    <x:col min="8" max="8" width="14" hidden="0" customWidth="1"/>
    <x:col min="5" max="5" width="48" hidden="0" customWidth="1"/>
  </x:cols>
  <x:sheetData>
    <x:row r="1">
      <x:c r="A1" s="32" t="str">
        <x:v>Tritium Endpoint Mass Measurement — Simple Count Estimator</x:v>
      </x:c>
      <x:c r="B1" s="32"/>
      <x:c r="C1" s="32"/>
      <x:c r="D1" s="32"/>
      <x:c r="E1" s="32"/>
      <x:c r="F1" s="4"/>
      <x:c r="G1" s="4"/>
      <x:c r="H1" s="4"/>
    </x:row>
    <x:row r="3">
      <x:c r="A3" s="8" t="str">
        <x:v>Input</x:v>
      </x:c>
      <x:c r="B3" s="8" t="str">
        <x:v>Value</x:v>
      </x:c>
      <x:c r="C3" s="8" t="str">
        <x:v>Units</x:v>
      </x:c>
      <x:c r="D3" s="8" t="str">
        <x:v>Notes</x:v>
      </x:c>
      <x:c r="E3" s="28" t="str">
        <x:v>Formula</x:v>
      </x:c>
      <x:c r="F3" s="8" t="str">
        <x:v>Quick interpretation</x:v>
      </x:c>
      <x:c r="G3" s="8" t="str"/>
      <x:c r="H3" s="8" t="str"/>
    </x:row>
    <x:row r="4">
      <x:c r="A4" t="str">
        <x:v>Neutrino mass, mν</x:v>
      </x:c>
      <x:c r="B4" s="14" t="n">
        <x:v>0.1</x:v>
      </x:c>
      <x:c r="C4" t="str">
        <x:v>eV</x:v>
      </x:c>
      <x:c r="D4" s="10" t="str">
        <x:v>Mass hypothesis to distinguish from zero</x:v>
      </x:c>
      <x:c r="E4" s="30" t="str">
        <x:v>input</x:v>
      </x:c>
      <x:c r="F4" t="str">
        <x:v>Main result</x:v>
      </x:c>
      <x:c r="G4" t="str">
        <x:v>Finite-resolution calendar years</x:v>
      </x:c>
      <x:c r="H4" t="n">
        <x:f>B24</x:f>
        <x:v>7.9492037913969815</x:v>
      </x:c>
    </x:row>
    <x:row r="5">
      <x:c r="A5" t="str">
        <x:v>Endpoint window, ΔE</x:v>
      </x:c>
      <x:c r="B5" s="14" t="n">
        <x:v>0.2</x:v>
      </x:c>
      <x:c r="C5" t="str">
        <x:v>eV</x:v>
      </x:c>
      <x:c r="D5" s="10" t="str">
        <x:v>Perfect-resolution counting window below endpoint</x:v>
      </x:c>
      <x:c r="E5" s="30" t="str">
        <x:v>input</x:v>
      </x:c>
      <x:c r="F5" t="str">
        <x:v>Counts needed</x:v>
      </x:c>
      <x:c r="G5" t="str">
        <x:v>With finite-resolution scaling</x:v>
      </x:c>
      <x:c r="H5" t="n">
        <x:f>B19</x:f>
        <x:v>8.140876611286773</x:v>
      </x:c>
    </x:row>
    <x:row r="6">
      <x:c r="A6" t="str">
        <x:v>Effective energy resolution, σ_eff</x:v>
      </x:c>
      <x:c r="B6" s="14" t="n">
        <x:v>0</x:v>
      </x:c>
      <x:c r="C6" t="str">
        <x:v>eV σ</x:v>
      </x:c>
      <x:c r="D6" s="10" t="str">
        <x:v>Gaussian sigma; detector + zero-point motion in quadrature</x:v>
      </x:c>
      <x:c r="E6" s="30" t="str">
        <x:v>input</x:v>
      </x:c>
      <x:c r="F6" t="str">
        <x:v>Resolution penalty</x:v>
      </x:c>
      <x:c r="G6" t="str">
        <x:v>Approximate multiplier</x:v>
      </x:c>
      <x:c r="H6" t="n">
        <x:f>B18</x:f>
        <x:v>1</x:v>
      </x:c>
    </x:row>
    <x:row r="7">
      <x:c r="A7" t="str">
        <x:v>Desired significance, Z</x:v>
      </x:c>
      <x:c r="B7" s="16" t="n">
        <x:v>1</x:v>
      </x:c>
      <x:c r="C7" t="str">
        <x:v>σ</x:v>
      </x:c>
      <x:c r="D7" s="10" t="str">
        <x:v>Use 1 for 1σ, 3 for 3σ</x:v>
      </x:c>
      <x:c r="E7" s="30" t="str">
        <x:v>input</x:v>
      </x:c>
      <x:c r="F7" t="str">
        <x:v>Endpoint rate</x:v>
      </x:c>
      <x:c r="G7" t="str">
        <x:v>Events / pixel / year</x:v>
      </x:c>
      <x:c r="H7" t="n">
        <x:f>B20</x:f>
        <x:v>0.0000010241122035514085</x:v>
      </x:c>
    </x:row>
    <x:row r="8">
      <x:c r="A8" t="str">
        <x:v>Tritium activity per pixel</x:v>
      </x:c>
      <x:c r="B8" s="18" t="n">
        <x:v>178.3</x:v>
      </x:c>
      <x:c r="C8" t="str">
        <x:v>Bq</x:v>
      </x:c>
      <x:c r="D8" s="10" t="str">
        <x:v>For ~1e11 T atoms in 100 µm square, two partial layers</x:v>
      </x:c>
      <x:c r="E8" s="30" t="str">
        <x:v>input</x:v>
      </x:c>
      <x:c r="F8" t="str">
        <x:v>Acceptance</x:v>
      </x:c>
      <x:c r="G8" t="str">
        <x:v>Upward + 0.5 blocking</x:v>
      </x:c>
      <x:c r="H8" t="n">
        <x:f>B10</x:f>
        <x:v>0.1464</x:v>
      </x:c>
    </x:row>
    <x:row r="9">
      <x:c r="A9" t="str">
        <x:v>Endpoint energy, Q</x:v>
      </x:c>
      <x:c r="B9" s="18" t="n">
        <x:v>18600</x:v>
      </x:c>
      <x:c r="C9" t="str">
        <x:v>eV</x:v>
      </x:c>
      <x:c r="D9" s="10" t="str">
        <x:v>Tritium beta endpoint scale</x:v>
      </x:c>
      <x:c r="E9" s="30" t="str">
        <x:v>input</x:v>
      </x:c>
    </x:row>
    <x:row r="10">
      <x:c r="A10" t="str">
        <x:v>Angular / transport acceptance</x:v>
      </x:c>
      <x:c r="B10" s="20" t="n">
        <x:v>0.1464</x:v>
      </x:c>
      <x:c r="C10" t="str">
        <x:v>fraction</x:v>
      </x:c>
      <x:c r="D10" s="10" t="str">
        <x:v>Upward hemisphere × 0.5 endpoint blocking voltage</x:v>
      </x:c>
      <x:c r="E10" s="30" t="str">
        <x:v>input</x:v>
      </x:c>
    </x:row>
    <x:row r="11">
      <x:c r="A11" t="str">
        <x:v>Number of pixels</x:v>
      </x:c>
      <x:c r="B11" s="18" t="n">
        <x:v>1000000</x:v>
      </x:c>
      <x:c r="C11" t="str">
        <x:v>pixels</x:v>
      </x:c>
      <x:c r="D11" s="10" t="str">
        <x:v>For converting detector-years to calendar years</x:v>
      </x:c>
      <x:c r="E11" s="30" t="str"/>
    </x:row>
    <x:row r="12">
      <x:c r="D12" s="10"/>
      <x:c r="E12" s="10" t="str"/>
    </x:row>
    <x:row r="13">
      <x:c r="D13" s="10"/>
      <x:c r="E13" s="10" t="str"/>
    </x:row>
    <x:row r="14">
      <x:c r="A14" s="8" t="str">
        <x:v>Output</x:v>
      </x:c>
      <x:c r="B14" s="8" t="str">
        <x:v>Formula result</x:v>
      </x:c>
      <x:c r="C14" s="8" t="str">
        <x:v>Units</x:v>
      </x:c>
      <x:c r="D14" s="11" t="str">
        <x:v>Meaning</x:v>
      </x:c>
      <x:c r="E14" s="28" t="str">
        <x:v>Formula</x:v>
      </x:c>
    </x:row>
    <x:row r="15">
      <x:c r="A15" t="str">
        <x:v>Perfect-resolution count ratio, r = Nm/N0</x:v>
      </x:c>
      <x:c r="B15" s="14" t="n">
        <x:f>IF(B5&gt;B4,(1-(B4/B5)^2)^(3/2),0)</x:f>
        <x:v>0.649519052838329</x:v>
      </x:c>
      <x:c r="C15" t="str"/>
      <x:c r="D15" s="10" t="str">
        <x:v>Finite-mass counts divided by zero-mass counts in window</x:v>
      </x:c>
      <x:c r="E15" s="31" t="str">
        <x:v>=IF(B5&gt;B4,(1-(B4/B5)^2)^(3/2),0)</x:v>
      </x:c>
    </x:row>
    <x:row r="16">
      <x:c r="A16" t="str">
        <x:v>Perfect-resolution fractional deficit, δ = 1-r</x:v>
      </x:c>
      <x:c r="B16" s="14" t="n">
        <x:f>1-B15</x:f>
        <x:v>0.350480947161671</x:v>
      </x:c>
      <x:c r="C16" t="str"/>
      <x:c r="D16" s="10" t="str">
        <x:v>Signal fraction in simple counting test</x:v>
      </x:c>
      <x:c r="E16" s="31" t="str">
        <x:v>=1-B15</x:v>
      </x:c>
    </x:row>
    <x:row r="17">
      <x:c r="A17" t="str">
        <x:v>Counts needed, perfect resolution</x:v>
      </x:c>
      <x:c r="B17" s="22" t="n">
        <x:f>IF(B16&gt;0,B7^2/B16^2,"")</x:f>
        <x:v>8.140876611286773</x:v>
      </x:c>
      <x:c r="C17" t="str">
        <x:v>counts</x:v>
      </x:c>
      <x:c r="D17" s="10" t="str">
        <x:v>Detected zero-mass-window counts needed for chosen Z</x:v>
      </x:c>
      <x:c r="E17" s="31" t="str">
        <x:v>=IF(B16&gt;0,B7^2/B16^2,"")</x:v>
      </x:c>
    </x:row>
    <x:row r="18">
      <x:c r="A18" t="str">
        <x:v>Resolution penalty factor</x:v>
      </x:c>
      <x:c r="B18" s="22" t="n">
        <x:f>IF(B4&gt;0,(1+(B6/B4)^2)^2,"")</x:f>
        <x:v>1</x:v>
      </x:c>
      <x:c r="C18" t="str">
        <x:v>×</x:v>
      </x:c>
      <x:c r="D18" s="10" t="str">
        <x:v>Approx. [1+(σ_eff/mν)^2]^2</x:v>
      </x:c>
      <x:c r="E18" s="31" t="str">
        <x:v>=IF(B4&gt;0,(1+(B6/B4)^2)^2,"")</x:v>
      </x:c>
    </x:row>
    <x:row r="19">
      <x:c r="A19" t="str">
        <x:v>Counts needed with finite-resolution scaling</x:v>
      </x:c>
      <x:c r="B19" s="22" t="n">
        <x:f>B17*B18</x:f>
        <x:v>8.140876611286773</x:v>
      </x:c>
      <x:c r="C19" t="str">
        <x:v>counts</x:v>
      </x:c>
      <x:c r="D19" s="10" t="str">
        <x:v>Perfect-resolution counts × penalty</x:v>
      </x:c>
      <x:c r="E19" s="31" t="str">
        <x:v>=B17*B18</x:v>
      </x:c>
    </x:row>
    <x:row r="20">
      <x:c r="A20" t="str">
        <x:v>Endpoint event rate per pixel</x:v>
      </x:c>
      <x:c r="B20" s="22" t="n">
        <x:f>B8*(B5/B9)^3*B10*365.25*24*3600</x:f>
        <x:v>0.0000010241122035514085</x:v>
      </x:c>
      <x:c r="C20" t="str">
        <x:v>events/year</x:v>
      </x:c>
      <x:c r="D20" s="10" t="str">
        <x:v>Massless rate in the chosen endpoint window, after acceptance</x:v>
      </x:c>
      <x:c r="E20" s="31" t="str">
        <x:v>=B8*(B5/B9)^3*B10*365.25*24*3600</x:v>
      </x:c>
    </x:row>
    <x:row r="21">
      <x:c r="A21" t="str">
        <x:v>Detector-years needed, perfect resolution</x:v>
      </x:c>
      <x:c r="B21" s="22" t="n">
        <x:f>IF(B20&gt;0,B17/B20,"")</x:f>
        <x:v>7949203.791396981</x:v>
      </x:c>
      <x:c r="C21" t="str">
        <x:v>detector-years</x:v>
      </x:c>
      <x:c r="D21" s="10" t="str">
        <x:v>Counts needed ÷ event rate per pixel</x:v>
      </x:c>
      <x:c r="E21" s="31" t="str">
        <x:v>=IF(B20&gt;0,B17/B20,"")</x:v>
      </x:c>
    </x:row>
    <x:row r="22">
      <x:c r="A22" t="str">
        <x:v>Detector-years needed, finite-resolution scaling</x:v>
      </x:c>
      <x:c r="B22" s="22" t="n">
        <x:f>IF(B20&gt;0,B19/B20,"")</x:f>
        <x:v>7949203.791396981</x:v>
      </x:c>
      <x:c r="C22" t="str">
        <x:v>detector-years</x:v>
      </x:c>
      <x:c r="D22" s="10" t="str">
        <x:v>Finite-resolution counts ÷ event rate per pixel</x:v>
      </x:c>
      <x:c r="E22" s="31" t="str">
        <x:v>=IF(B20&gt;0,B19/B20,"")</x:v>
      </x:c>
    </x:row>
    <x:row r="23">
      <x:c r="A23" t="str">
        <x:v>Calendar years, perfect resolution</x:v>
      </x:c>
      <x:c r="B23" s="22" t="n">
        <x:f>IF(B11&gt;0,B21/B11,"")</x:f>
        <x:v>7.9492037913969815</x:v>
      </x:c>
      <x:c r="C23" t="str">
        <x:v>years</x:v>
      </x:c>
      <x:c r="D23" s="10" t="str">
        <x:v>Detector-years ÷ number of pixels</x:v>
      </x:c>
      <x:c r="E23" s="31" t="str">
        <x:v>=IF(B11&gt;0,B21/B11,"")</x:v>
      </x:c>
    </x:row>
    <x:row r="24">
      <x:c r="A24" t="str">
        <x:v>Calendar years, finite-resolution scaling</x:v>
      </x:c>
      <x:c r="B24" s="22" t="n">
        <x:f>IF(B11&gt;0,B22/B11,"")</x:f>
        <x:v>7.9492037913969815</x:v>
      </x:c>
      <x:c r="C24" t="str">
        <x:v>years</x:v>
      </x:c>
      <x:c r="D24" s="10" t="str">
        <x:v>Detector-years ÷ number of pixels</x:v>
      </x:c>
      <x:c r="E24" s="31" t="str">
        <x:v>=IF(B11&gt;0,B22/B11,"")</x:v>
      </x:c>
    </x:row>
    <x:row r="25">
      <x:c r="A25" t="str">
        <x:v>FWHM equivalent of σ_eff</x:v>
      </x:c>
      <x:c r="B25" s="14" t="n">
        <x:f>2.355*B6</x:f>
        <x:v>0</x:v>
      </x:c>
      <x:c r="C25" t="str">
        <x:v>eV FWHM</x:v>
      </x:c>
      <x:c r="D25" s="10" t="str">
        <x:v>2.355 × σ_eff</x:v>
      </x:c>
      <x:c r="E25" s="31" t="str">
        <x:v>=2.355*B6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10" t="str">
        <x:v>Notes: This workbook estimates tritium beta endpoint counts for mass measurement only. The finite-resolution penalty is a rule of thumb: [1+(sigma_eff/m_nu)^2]^2.</x:v>
      </x:c>
    </x:row>
  </x:sheetData>
  <x:pageMargins left="0.7" right="0.7" top="0.75" bottom="0.75" header="0.3" footer="0.3"/>
</x:worksheet>
</file>