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mc of tritium graphene experiment/"/>
    </mc:Choice>
  </mc:AlternateContent>
  <xr:revisionPtr revIDLastSave="39" documentId="11_B901DBA6120B8F7A4745780A5D5CC40997FDCA1C" xr6:coauthVersionLast="47" xr6:coauthVersionMax="47" xr10:uidLastSave="{20A2D081-0263-4B19-B96A-8D46501440EC}"/>
  <bookViews>
    <workbookView minimized="1" xWindow="59520" yWindow="-3300" windowWidth="17280" windowHeight="17175" xr2:uid="{00000000-000D-0000-FFFF-FFFF00000000}"/>
  </bookViews>
  <sheets>
    <sheet name="Estimator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5" i="1"/>
  <c r="H7" i="1"/>
  <c r="B18" i="1"/>
  <c r="H6" i="1" s="1"/>
  <c r="B15" i="1"/>
  <c r="B16" i="1" s="1"/>
  <c r="B17" i="1" s="1"/>
  <c r="H8" i="1"/>
  <c r="B19" i="1" l="1"/>
  <c r="B22" i="1" s="1"/>
  <c r="B24" i="1" s="1"/>
  <c r="H4" i="1" s="1"/>
  <c r="B21" i="1"/>
  <c r="B23" i="1" s="1"/>
  <c r="H5" i="1" l="1"/>
</calcChain>
</file>

<file path=xl/sharedStrings.xml><?xml version="1.0" encoding="utf-8"?>
<sst xmlns="http://schemas.openxmlformats.org/spreadsheetml/2006/main" count="98" uniqueCount="82">
  <si>
    <t>Tritium Endpoint Mass Measurement — Simple Count Estimator</t>
  </si>
  <si>
    <t>Input</t>
  </si>
  <si>
    <t>Value</t>
  </si>
  <si>
    <t>Units</t>
  </si>
  <si>
    <t>Notes</t>
  </si>
  <si>
    <t>Formula</t>
  </si>
  <si>
    <t>Quick interpretation</t>
  </si>
  <si>
    <t>Neutrino mass, mν</t>
  </si>
  <si>
    <t>eV</t>
  </si>
  <si>
    <t>Mass hypothesis to distinguish from zero</t>
  </si>
  <si>
    <t>Main result</t>
  </si>
  <si>
    <t>Finite-resolution calendar years</t>
  </si>
  <si>
    <t>Endpoint window, ΔE</t>
  </si>
  <si>
    <t>Perfect-resolution counting window below endpoint</t>
  </si>
  <si>
    <t>Counts needed</t>
  </si>
  <si>
    <t>With finite-resolution scaling</t>
  </si>
  <si>
    <t>Effective energy resolution, σ_eff</t>
  </si>
  <si>
    <t>eV σ</t>
  </si>
  <si>
    <t>Gaussian sigma; detector + zero-point motion in quadrature</t>
  </si>
  <si>
    <t>Resolution penalty</t>
  </si>
  <si>
    <t>Approximate multiplier</t>
  </si>
  <si>
    <t>Desired significance, Z</t>
  </si>
  <si>
    <t>σ</t>
  </si>
  <si>
    <t>Use 1 for 1σ, 3 for 3σ</t>
  </si>
  <si>
    <t>Endpoint rate</t>
  </si>
  <si>
    <t>Events / pixel / year</t>
  </si>
  <si>
    <t>Tritium activity per pixel</t>
  </si>
  <si>
    <t>Bq</t>
  </si>
  <si>
    <t>For ~1e11 T atoms in 100 µm square, two partial layers</t>
  </si>
  <si>
    <t>Acceptance</t>
  </si>
  <si>
    <t>Upward + 0.5 blocking</t>
  </si>
  <si>
    <t>Endpoint energy, Q</t>
  </si>
  <si>
    <t>Tritium beta endpoint scale</t>
  </si>
  <si>
    <t>Angular / transport acceptance</t>
  </si>
  <si>
    <t>fraction</t>
  </si>
  <si>
    <t>Upward hemisphere × 0.5 endpoint blocking voltage</t>
  </si>
  <si>
    <t>Number of pixels</t>
  </si>
  <si>
    <t>pixels</t>
  </si>
  <si>
    <t>For converting detector-years to calendar years</t>
  </si>
  <si>
    <t>Output</t>
  </si>
  <si>
    <t>Formula result</t>
  </si>
  <si>
    <t>Meaning</t>
  </si>
  <si>
    <t>Perfect-resolution count ratio, r = Nm/N0</t>
  </si>
  <si>
    <t>Finite-mass counts divided by zero-mass counts in window</t>
  </si>
  <si>
    <t>r = Nₘ/N₀ = [1 − (mν/ΔE)²]³ᐟ²</t>
  </si>
  <si>
    <t>Perfect-resolution fractional deficit, δ = 1-r</t>
  </si>
  <si>
    <t>Signal fraction in simple counting test</t>
  </si>
  <si>
    <t>δ = 1 − r</t>
  </si>
  <si>
    <t>Counts needed, perfect resolution</t>
  </si>
  <si>
    <t>counts</t>
  </si>
  <si>
    <t>Detected zero-mass-window counts needed for chosen Z</t>
  </si>
  <si>
    <t>N₀,req = Z²/δ²</t>
  </si>
  <si>
    <t>Resolution penalty factor</t>
  </si>
  <si>
    <t>×</t>
  </si>
  <si>
    <t>Approx. [1+(σ_eff/mν)^2]^2</t>
  </si>
  <si>
    <t>Pσ = [1 + (σeff/mν)²]²</t>
  </si>
  <si>
    <t>Counts needed with finite-resolution scaling</t>
  </si>
  <si>
    <t>Perfect-resolution counts × penalty</t>
  </si>
  <si>
    <t>Nσ,req = N₀,req · Pσ</t>
  </si>
  <si>
    <t>Endpoint event rate per pixel</t>
  </si>
  <si>
    <t>events/year</t>
  </si>
  <si>
    <t>Massless rate in the chosen endpoint window, after acceptance</t>
  </si>
  <si>
    <t>R = A · (ΔE/Q)³ · f · seconds/year</t>
  </si>
  <si>
    <t>Detector-years needed, perfect resolution</t>
  </si>
  <si>
    <t>detector-years</t>
  </si>
  <si>
    <t>Counts needed ÷ event rate per pixel</t>
  </si>
  <si>
    <t>Y₀ = N₀,req/R</t>
  </si>
  <si>
    <t>Detector-years needed, finite-resolution scaling</t>
  </si>
  <si>
    <t>Finite-resolution counts ÷ event rate per pixel</t>
  </si>
  <si>
    <t>Yσ = Nσ,req/R</t>
  </si>
  <si>
    <t>Calendar years, perfect resolution</t>
  </si>
  <si>
    <t>years</t>
  </si>
  <si>
    <t>Detector-years ÷ number of pixels</t>
  </si>
  <si>
    <t>t₀ = Y₀/Npixels</t>
  </si>
  <si>
    <t>Calendar years, finite-resolution scaling</t>
  </si>
  <si>
    <t>tσ = Yσ/Npixels</t>
  </si>
  <si>
    <t>FWHM equivalent of σ_eff</t>
  </si>
  <si>
    <t>eV FWHM</t>
  </si>
  <si>
    <t>2.355 × σ_eff</t>
  </si>
  <si>
    <t>FWHM = 2.355 · σeff</t>
  </si>
  <si>
    <t>The Estimator sheet keeps actual calculations in the result cells, while the Formula column shows human-readable math notation rather than Excel formulas.</t>
  </si>
  <si>
    <t>detector 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</si>
</sst>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9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4"/>
      <color rgb="FF111827"/>
      <name val="Carlito"/>
    </font>
    <font>
      <b/>
      <sz val="11"/>
      <color rgb="FFFFFFFF"/>
      <name val="Cambria Math"/>
    </font>
    <font>
      <i/>
      <sz val="11"/>
      <color rgb="FF6B7280"/>
      <name val="Cambria Math"/>
    </font>
    <font>
      <sz val="11"/>
      <name val="Cambria Math"/>
    </font>
    <font>
      <sz val="11"/>
      <color rgb="FF374151"/>
      <name val="Cambria Math"/>
    </font>
    <font>
      <b/>
      <sz val="11"/>
      <color rgb="FFFF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2" workbookViewId="0">
      <selection activeCell="N17" sqref="N17"/>
    </sheetView>
  </sheetViews>
  <sheetFormatPr defaultRowHeight="13.8"/>
  <cols>
    <col min="1" max="1" width="34" customWidth="1"/>
    <col min="2" max="2" width="18" customWidth="1"/>
    <col min="3" max="3" width="14" customWidth="1"/>
    <col min="4" max="4" width="42" customWidth="1"/>
    <col min="5" max="5" width="30.09765625" customWidth="1"/>
    <col min="6" max="6" width="22" customWidth="1"/>
    <col min="7" max="7" width="28" customWidth="1"/>
    <col min="8" max="8" width="18" customWidth="1"/>
  </cols>
  <sheetData>
    <row r="1" spans="1:8" ht="22.35" customHeight="1">
      <c r="A1" s="6" t="s">
        <v>0</v>
      </c>
      <c r="B1" s="6"/>
      <c r="C1" s="6"/>
      <c r="D1" s="6"/>
      <c r="E1" s="6"/>
      <c r="F1" s="7"/>
      <c r="G1" s="7"/>
      <c r="H1" s="7"/>
    </row>
    <row r="2" spans="1:8" ht="31.8" customHeight="1">
      <c r="A2" s="8"/>
      <c r="B2" s="8"/>
      <c r="C2" s="8"/>
      <c r="D2" s="8"/>
      <c r="E2" s="8"/>
      <c r="F2" s="8"/>
      <c r="G2" s="8"/>
      <c r="H2" s="8"/>
    </row>
    <row r="3" spans="1:8" s="10" customFormat="1" ht="31.8" customHeight="1">
      <c r="A3" s="9" t="s">
        <v>1</v>
      </c>
      <c r="B3" s="9" t="s">
        <v>2</v>
      </c>
      <c r="C3" s="9" t="s">
        <v>3</v>
      </c>
      <c r="D3" s="9" t="s">
        <v>4</v>
      </c>
      <c r="E3" s="2" t="s">
        <v>5</v>
      </c>
      <c r="F3" s="9" t="s">
        <v>6</v>
      </c>
      <c r="G3" s="9"/>
      <c r="H3" s="9"/>
    </row>
    <row r="4" spans="1:8" s="10" customFormat="1" ht="31.8" customHeight="1">
      <c r="A4" s="10" t="s">
        <v>7</v>
      </c>
      <c r="B4" s="11">
        <v>0.1</v>
      </c>
      <c r="C4" s="10" t="s">
        <v>8</v>
      </c>
      <c r="D4" s="10" t="s">
        <v>9</v>
      </c>
      <c r="E4" s="3" t="s">
        <v>1</v>
      </c>
      <c r="F4" s="10" t="s">
        <v>10</v>
      </c>
      <c r="G4" s="10" t="s">
        <v>11</v>
      </c>
      <c r="H4" s="10">
        <f>B24</f>
        <v>31.796815165587926</v>
      </c>
    </row>
    <row r="5" spans="1:8" s="10" customFormat="1" ht="31.8" customHeight="1">
      <c r="A5" s="10" t="s">
        <v>12</v>
      </c>
      <c r="B5" s="11">
        <v>0.2</v>
      </c>
      <c r="C5" s="10" t="s">
        <v>8</v>
      </c>
      <c r="D5" s="10" t="s">
        <v>13</v>
      </c>
      <c r="E5" s="3" t="s">
        <v>1</v>
      </c>
      <c r="F5" s="10" t="s">
        <v>14</v>
      </c>
      <c r="G5" s="10" t="s">
        <v>15</v>
      </c>
      <c r="H5" s="10">
        <f>B19</f>
        <v>32.563506445147091</v>
      </c>
    </row>
    <row r="6" spans="1:8" s="10" customFormat="1" ht="31.8" customHeight="1">
      <c r="A6" s="10" t="s">
        <v>16</v>
      </c>
      <c r="B6" s="16">
        <v>0.1</v>
      </c>
      <c r="C6" s="10" t="s">
        <v>17</v>
      </c>
      <c r="D6" s="10" t="s">
        <v>18</v>
      </c>
      <c r="E6" s="3" t="s">
        <v>1</v>
      </c>
      <c r="F6" s="10" t="s">
        <v>19</v>
      </c>
      <c r="G6" s="10" t="s">
        <v>20</v>
      </c>
      <c r="H6" s="10">
        <f>B18</f>
        <v>4</v>
      </c>
    </row>
    <row r="7" spans="1:8" s="10" customFormat="1" ht="31.8" customHeight="1">
      <c r="A7" s="10" t="s">
        <v>21</v>
      </c>
      <c r="B7" s="12">
        <v>1</v>
      </c>
      <c r="C7" s="10" t="s">
        <v>22</v>
      </c>
      <c r="D7" s="10" t="s">
        <v>23</v>
      </c>
      <c r="E7" s="3" t="s">
        <v>1</v>
      </c>
      <c r="F7" s="10" t="s">
        <v>24</v>
      </c>
      <c r="G7" s="10" t="s">
        <v>25</v>
      </c>
      <c r="H7" s="10">
        <f>B20</f>
        <v>1.0241122035514085E-6</v>
      </c>
    </row>
    <row r="8" spans="1:8" s="10" customFormat="1" ht="31.8" customHeight="1">
      <c r="A8" s="10" t="s">
        <v>26</v>
      </c>
      <c r="B8" s="13">
        <v>178.3</v>
      </c>
      <c r="C8" s="10" t="s">
        <v>27</v>
      </c>
      <c r="D8" s="10" t="s">
        <v>28</v>
      </c>
      <c r="E8" s="3" t="s">
        <v>1</v>
      </c>
      <c r="F8" s="10" t="s">
        <v>29</v>
      </c>
      <c r="G8" s="10" t="s">
        <v>30</v>
      </c>
      <c r="H8" s="10">
        <f>B10</f>
        <v>0.1464</v>
      </c>
    </row>
    <row r="9" spans="1:8" s="10" customFormat="1" ht="31.8" customHeight="1">
      <c r="A9" s="10" t="s">
        <v>31</v>
      </c>
      <c r="B9" s="13">
        <v>18600</v>
      </c>
      <c r="C9" s="10" t="s">
        <v>8</v>
      </c>
      <c r="D9" s="10" t="s">
        <v>32</v>
      </c>
      <c r="E9" s="3" t="s">
        <v>1</v>
      </c>
    </row>
    <row r="10" spans="1:8" s="10" customFormat="1" ht="31.8" customHeight="1">
      <c r="A10" s="10" t="s">
        <v>33</v>
      </c>
      <c r="B10" s="14">
        <v>0.1464</v>
      </c>
      <c r="C10" s="10" t="s">
        <v>34</v>
      </c>
      <c r="D10" s="10" t="s">
        <v>35</v>
      </c>
      <c r="E10" s="3" t="s">
        <v>1</v>
      </c>
    </row>
    <row r="11" spans="1:8" s="10" customFormat="1" ht="31.8" customHeight="1">
      <c r="A11" s="10" t="s">
        <v>36</v>
      </c>
      <c r="B11" s="13">
        <v>1000000</v>
      </c>
      <c r="C11" s="10" t="s">
        <v>37</v>
      </c>
      <c r="D11" s="10" t="s">
        <v>38</v>
      </c>
      <c r="E11" s="3" t="s">
        <v>1</v>
      </c>
    </row>
    <row r="12" spans="1:8" s="10" customFormat="1" ht="31.8" customHeight="1">
      <c r="E12" s="4"/>
    </row>
    <row r="13" spans="1:8" s="10" customFormat="1" ht="31.8" customHeight="1">
      <c r="E13" s="4"/>
    </row>
    <row r="14" spans="1:8" s="10" customFormat="1" ht="31.8" customHeight="1">
      <c r="A14" s="9" t="s">
        <v>39</v>
      </c>
      <c r="B14" s="9" t="s">
        <v>40</v>
      </c>
      <c r="C14" s="9" t="s">
        <v>3</v>
      </c>
      <c r="D14" s="9" t="s">
        <v>41</v>
      </c>
      <c r="E14" s="2" t="s">
        <v>5</v>
      </c>
    </row>
    <row r="15" spans="1:8" s="10" customFormat="1" ht="31.8" customHeight="1">
      <c r="A15" s="10" t="s">
        <v>42</v>
      </c>
      <c r="B15" s="11">
        <f>IF(B5&gt;B4,(1-(B4/B5)^2)^(3/2),0)</f>
        <v>0.649519052838329</v>
      </c>
      <c r="D15" s="10" t="s">
        <v>43</v>
      </c>
      <c r="E15" s="5" t="s">
        <v>44</v>
      </c>
    </row>
    <row r="16" spans="1:8" s="10" customFormat="1" ht="31.8" customHeight="1">
      <c r="A16" s="10" t="s">
        <v>45</v>
      </c>
      <c r="B16" s="11">
        <f>1-B15</f>
        <v>0.350480947161671</v>
      </c>
      <c r="D16" s="10" t="s">
        <v>46</v>
      </c>
      <c r="E16" s="5" t="s">
        <v>47</v>
      </c>
    </row>
    <row r="17" spans="1:5" s="10" customFormat="1" ht="31.8" customHeight="1">
      <c r="A17" s="10" t="s">
        <v>48</v>
      </c>
      <c r="B17" s="13">
        <f>IF(B16&gt;0,B7^2/B16^2,"")</f>
        <v>8.1408766112867728</v>
      </c>
      <c r="C17" s="10" t="s">
        <v>49</v>
      </c>
      <c r="D17" s="10" t="s">
        <v>50</v>
      </c>
      <c r="E17" s="5" t="s">
        <v>51</v>
      </c>
    </row>
    <row r="18" spans="1:5" s="10" customFormat="1" ht="31.8" customHeight="1">
      <c r="A18" s="10" t="s">
        <v>52</v>
      </c>
      <c r="B18" s="17">
        <f>IF(B4&gt;0,(1+(B6/B4)^2)^2,"")</f>
        <v>4</v>
      </c>
      <c r="C18" s="10" t="s">
        <v>53</v>
      </c>
      <c r="D18" s="10" t="s">
        <v>54</v>
      </c>
      <c r="E18" s="5" t="s">
        <v>55</v>
      </c>
    </row>
    <row r="19" spans="1:5" s="10" customFormat="1" ht="31.8" customHeight="1">
      <c r="A19" s="10" t="s">
        <v>56</v>
      </c>
      <c r="B19" s="13">
        <f>B17*B18</f>
        <v>32.563506445147091</v>
      </c>
      <c r="C19" s="10" t="s">
        <v>49</v>
      </c>
      <c r="D19" s="10" t="s">
        <v>57</v>
      </c>
      <c r="E19" s="5" t="s">
        <v>58</v>
      </c>
    </row>
    <row r="20" spans="1:5" s="10" customFormat="1" ht="31.8" customHeight="1">
      <c r="A20" s="10" t="s">
        <v>59</v>
      </c>
      <c r="B20" s="15">
        <f>B8*(B5/B9)^3*B10*365.25*24*3600</f>
        <v>1.0241122035514085E-6</v>
      </c>
      <c r="C20" s="10" t="s">
        <v>60</v>
      </c>
      <c r="D20" s="10" t="s">
        <v>61</v>
      </c>
      <c r="E20" s="5" t="s">
        <v>62</v>
      </c>
    </row>
    <row r="21" spans="1:5" s="10" customFormat="1" ht="31.8" customHeight="1">
      <c r="A21" s="10" t="s">
        <v>63</v>
      </c>
      <c r="B21" s="15">
        <f>IF(B20&gt;0,B17/B20,"")</f>
        <v>7949203.7913969811</v>
      </c>
      <c r="C21" s="10" t="s">
        <v>64</v>
      </c>
      <c r="D21" s="10" t="s">
        <v>65</v>
      </c>
      <c r="E21" s="5" t="s">
        <v>66</v>
      </c>
    </row>
    <row r="22" spans="1:5" s="10" customFormat="1" ht="31.8" customHeight="1">
      <c r="A22" s="10" t="s">
        <v>67</v>
      </c>
      <c r="B22" s="15">
        <f>IF(B20&gt;0,B19/B20,"")</f>
        <v>31796815.165587924</v>
      </c>
      <c r="C22" s="10" t="s">
        <v>64</v>
      </c>
      <c r="D22" s="10" t="s">
        <v>68</v>
      </c>
      <c r="E22" s="5" t="s">
        <v>69</v>
      </c>
    </row>
    <row r="23" spans="1:5" s="10" customFormat="1" ht="31.8" customHeight="1">
      <c r="A23" s="10" t="s">
        <v>70</v>
      </c>
      <c r="B23" s="15">
        <f>IF(B11&gt;0,B21/B11,"")</f>
        <v>7.9492037913969815</v>
      </c>
      <c r="C23" s="10" t="s">
        <v>71</v>
      </c>
      <c r="D23" s="10" t="s">
        <v>72</v>
      </c>
      <c r="E23" s="5" t="s">
        <v>73</v>
      </c>
    </row>
    <row r="24" spans="1:5" s="10" customFormat="1" ht="31.8" customHeight="1">
      <c r="A24" s="10" t="s">
        <v>74</v>
      </c>
      <c r="B24" s="15">
        <f>IF(B11&gt;0,B22/B11,"")</f>
        <v>31.796815165587926</v>
      </c>
      <c r="C24" s="10" t="s">
        <v>71</v>
      </c>
      <c r="D24" s="10" t="s">
        <v>72</v>
      </c>
      <c r="E24" s="5" t="s">
        <v>75</v>
      </c>
    </row>
    <row r="25" spans="1:5" s="10" customFormat="1" ht="31.8" customHeight="1">
      <c r="A25" s="10" t="s">
        <v>76</v>
      </c>
      <c r="B25" s="16">
        <f>2.355*B6</f>
        <v>0.23550000000000001</v>
      </c>
      <c r="C25" s="10" t="s">
        <v>77</v>
      </c>
      <c r="D25" s="10" t="s">
        <v>78</v>
      </c>
      <c r="E25" s="5" t="s">
        <v>79</v>
      </c>
    </row>
    <row r="26" spans="1:5" s="8" customFormat="1" ht="19.2" customHeight="1"/>
    <row r="28" spans="1:5">
      <c r="A28" s="10" t="s">
        <v>81</v>
      </c>
    </row>
  </sheetData>
  <mergeCells count="1">
    <mergeCell ref="A1:H1"/>
  </mergeCells>
  <pageMargins left="0.7" right="0.7" top="0.75" bottom="0.75" header="0.3" footer="0.3"/>
  <pageSetup orientation="portrait" copies="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cols>
    <col min="1" max="1" width="120" customWidth="1"/>
  </cols>
  <sheetData>
    <row r="1" spans="1:1" ht="27.6">
      <c r="A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Estimator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Lindeman, Mark A (US 365H)</cp:lastModifiedBy>
  <dcterms:modified xsi:type="dcterms:W3CDTF">2026-06-04T23:03:46Z</dcterms:modified>
</cp:coreProperties>
</file>